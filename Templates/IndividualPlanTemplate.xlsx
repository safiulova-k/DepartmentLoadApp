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Admin\Desktop\8semestr\vkrpolina\departmentLoadApp\DepartmentLoadApp\Templates\"/>
    </mc:Choice>
  </mc:AlternateContent>
  <xr:revisionPtr revIDLastSave="0" documentId="13_ncr:1_{E0CA553E-012C-4BD3-AA8A-3F8D34D04DC6}" xr6:coauthVersionLast="47" xr6:coauthVersionMax="47" xr10:uidLastSave="{00000000-0000-0000-0000-000000000000}"/>
  <bookViews>
    <workbookView xWindow="-108" yWindow="-108" windowWidth="23256" windowHeight="12456" activeTab="8" xr2:uid="{00000000-000D-0000-FFFF-FFFF00000000}"/>
  </bookViews>
  <sheets>
    <sheet name="Титул" sheetId="1" r:id="rId1"/>
    <sheet name="Осенний сем." sheetId="2" r:id="rId2"/>
    <sheet name="Весенний сем." sheetId="4" r:id="rId3"/>
    <sheet name="УМР" sheetId="5" r:id="rId4"/>
    <sheet name="УМР (2)" sheetId="11" r:id="rId5"/>
    <sheet name="НИР" sheetId="8" r:id="rId6"/>
    <sheet name="ОМР" sheetId="12" r:id="rId7"/>
    <sheet name="ОМР (2)" sheetId="13" r:id="rId8"/>
    <sheet name="Сводная таблица" sheetId="6" r:id="rId9"/>
  </sheets>
  <definedNames>
    <definedName name="_xlnm.Print_Area" localSheetId="0">Титул!$A$1:$J$25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U6" i="4" l="1"/>
  <c r="V6" i="4" s="1"/>
  <c r="U7" i="4"/>
  <c r="V7" i="4" s="1"/>
  <c r="U8" i="4"/>
  <c r="V8" i="4" s="1"/>
  <c r="U9" i="4"/>
  <c r="V9" i="4" s="1"/>
  <c r="U10" i="4"/>
  <c r="V10" i="4" s="1"/>
  <c r="U11" i="4"/>
  <c r="V11" i="4" s="1"/>
  <c r="U12" i="4"/>
  <c r="V12" i="4" s="1"/>
  <c r="U13" i="4"/>
  <c r="V13" i="4" s="1"/>
  <c r="U14" i="4"/>
  <c r="V14" i="4"/>
  <c r="U15" i="4"/>
  <c r="V15" i="4" s="1"/>
  <c r="U16" i="4"/>
  <c r="V16" i="4"/>
  <c r="U17" i="4"/>
  <c r="V17" i="4" s="1"/>
  <c r="U8" i="2"/>
  <c r="V8" i="2" s="1"/>
  <c r="U9" i="2"/>
  <c r="V9" i="2" s="1"/>
  <c r="U10" i="2"/>
  <c r="V10" i="2" s="1"/>
  <c r="U11" i="2"/>
  <c r="V11" i="2"/>
  <c r="G33" i="5" l="1"/>
  <c r="E31" i="5" l="1"/>
  <c r="E33" i="12" l="1"/>
  <c r="E34" i="12"/>
  <c r="G33" i="12"/>
  <c r="G34" i="12"/>
  <c r="G32" i="12"/>
  <c r="E32" i="12"/>
  <c r="G9" i="12"/>
  <c r="G10" i="12"/>
  <c r="G11" i="12"/>
  <c r="G12" i="12"/>
  <c r="G13" i="12"/>
  <c r="G14" i="12"/>
  <c r="G15" i="12"/>
  <c r="G16" i="12"/>
  <c r="G17" i="12"/>
  <c r="G18" i="12"/>
  <c r="G19" i="12"/>
  <c r="G8" i="12"/>
  <c r="G20" i="12"/>
  <c r="G21" i="12"/>
  <c r="G22" i="12"/>
  <c r="G23" i="12"/>
  <c r="G24" i="12"/>
  <c r="G25" i="12"/>
  <c r="G26" i="12"/>
  <c r="G27" i="12"/>
  <c r="G28" i="12"/>
  <c r="G29" i="12"/>
  <c r="E9" i="12"/>
  <c r="E10" i="12"/>
  <c r="E11" i="12"/>
  <c r="E12" i="12"/>
  <c r="E13" i="12"/>
  <c r="E14" i="12"/>
  <c r="E15" i="12"/>
  <c r="E16" i="12"/>
  <c r="E17" i="12"/>
  <c r="E18" i="12"/>
  <c r="E19" i="12"/>
  <c r="E20" i="12"/>
  <c r="E21" i="12"/>
  <c r="E22" i="12"/>
  <c r="E23" i="12"/>
  <c r="E24" i="12"/>
  <c r="E25" i="12"/>
  <c r="E26" i="12"/>
  <c r="E27" i="12"/>
  <c r="E28" i="12"/>
  <c r="E29" i="12"/>
  <c r="E8" i="12"/>
  <c r="G26" i="8"/>
  <c r="G27" i="8"/>
  <c r="G28" i="8"/>
  <c r="G29" i="8"/>
  <c r="G25" i="8"/>
  <c r="G30" i="8" s="1"/>
  <c r="E26" i="8"/>
  <c r="E27" i="8"/>
  <c r="E28" i="8"/>
  <c r="E29" i="8"/>
  <c r="E25" i="8"/>
  <c r="E9" i="8"/>
  <c r="E10" i="8"/>
  <c r="E11" i="8"/>
  <c r="E12" i="8"/>
  <c r="E13" i="8"/>
  <c r="E14" i="8"/>
  <c r="E15" i="8"/>
  <c r="E16" i="8"/>
  <c r="E17" i="8"/>
  <c r="E18" i="8"/>
  <c r="E19" i="8"/>
  <c r="E20" i="8"/>
  <c r="E21" i="8"/>
  <c r="E22" i="8"/>
  <c r="G9" i="8"/>
  <c r="G10" i="8"/>
  <c r="G11" i="8"/>
  <c r="G12" i="8"/>
  <c r="G13" i="8"/>
  <c r="G14" i="8"/>
  <c r="G15" i="8"/>
  <c r="G16" i="8"/>
  <c r="G17" i="8"/>
  <c r="G18" i="8"/>
  <c r="G19" i="8"/>
  <c r="G20" i="8"/>
  <c r="G21" i="8"/>
  <c r="G22" i="8"/>
  <c r="G8" i="8"/>
  <c r="E8" i="8"/>
  <c r="G3" i="11"/>
  <c r="G4" i="11"/>
  <c r="G2" i="11"/>
  <c r="E3" i="11"/>
  <c r="E4" i="11"/>
  <c r="E2" i="11"/>
  <c r="G31" i="5"/>
  <c r="G32" i="5"/>
  <c r="G34" i="5"/>
  <c r="G30" i="5"/>
  <c r="E33" i="5"/>
  <c r="E34" i="5"/>
  <c r="E30" i="5"/>
  <c r="G27" i="5"/>
  <c r="G26" i="5"/>
  <c r="E27" i="5"/>
  <c r="E26" i="5"/>
  <c r="E28" i="5" s="1"/>
  <c r="G17" i="5"/>
  <c r="G18" i="5"/>
  <c r="G19" i="5"/>
  <c r="G20" i="5"/>
  <c r="G21" i="5"/>
  <c r="G22" i="5"/>
  <c r="G23" i="5"/>
  <c r="G8" i="5"/>
  <c r="E17" i="5"/>
  <c r="E18" i="5"/>
  <c r="E19" i="5"/>
  <c r="E20" i="5"/>
  <c r="E21" i="5"/>
  <c r="E22" i="5"/>
  <c r="E23" i="5"/>
  <c r="E8" i="5"/>
  <c r="D30" i="8"/>
  <c r="F35" i="12"/>
  <c r="D35" i="12"/>
  <c r="F30" i="12"/>
  <c r="D30" i="12"/>
  <c r="F5" i="11"/>
  <c r="D5" i="11"/>
  <c r="F20" i="2"/>
  <c r="F21" i="2" s="1"/>
  <c r="G20" i="2"/>
  <c r="G21" i="2" s="1"/>
  <c r="H20" i="2"/>
  <c r="H21" i="2" s="1"/>
  <c r="I20" i="2"/>
  <c r="J20" i="2"/>
  <c r="J21" i="2" s="1"/>
  <c r="K20" i="2"/>
  <c r="L20" i="2"/>
  <c r="L21" i="2" s="1"/>
  <c r="M20" i="2"/>
  <c r="M21" i="2" s="1"/>
  <c r="N20" i="2"/>
  <c r="N21" i="2" s="1"/>
  <c r="O20" i="2"/>
  <c r="O21" i="2" s="1"/>
  <c r="P20" i="2"/>
  <c r="P21" i="2" s="1"/>
  <c r="Q20" i="2"/>
  <c r="Q21" i="2" s="1"/>
  <c r="R20" i="2"/>
  <c r="R21" i="2" s="1"/>
  <c r="S20" i="2"/>
  <c r="S21" i="2" s="1"/>
  <c r="T20" i="2"/>
  <c r="T21" i="2" s="1"/>
  <c r="V13" i="2"/>
  <c r="V16" i="2"/>
  <c r="V18" i="2"/>
  <c r="U12" i="2"/>
  <c r="V12" i="2" s="1"/>
  <c r="U13" i="2"/>
  <c r="U14" i="2"/>
  <c r="V14" i="2" s="1"/>
  <c r="U15" i="2"/>
  <c r="V15" i="2" s="1"/>
  <c r="U16" i="2"/>
  <c r="U17" i="2"/>
  <c r="V17" i="2" s="1"/>
  <c r="U18" i="2"/>
  <c r="U19" i="2"/>
  <c r="V19" i="2" s="1"/>
  <c r="D23" i="8"/>
  <c r="F30" i="8"/>
  <c r="F23" i="8"/>
  <c r="F35" i="5"/>
  <c r="D35" i="5"/>
  <c r="F28" i="5"/>
  <c r="D28" i="5"/>
  <c r="F24" i="5"/>
  <c r="D24" i="5"/>
  <c r="T18" i="4"/>
  <c r="T20" i="4" s="1"/>
  <c r="S18" i="4"/>
  <c r="S20" i="4" s="1"/>
  <c r="R18" i="4"/>
  <c r="Q18" i="4"/>
  <c r="Q20" i="4" s="1"/>
  <c r="P18" i="4"/>
  <c r="P20" i="4" s="1"/>
  <c r="O18" i="4"/>
  <c r="N18" i="4"/>
  <c r="N20" i="4" s="1"/>
  <c r="M18" i="4"/>
  <c r="M20" i="4" s="1"/>
  <c r="L18" i="4"/>
  <c r="L20" i="4" s="1"/>
  <c r="K18" i="4"/>
  <c r="J18" i="4"/>
  <c r="I18" i="4"/>
  <c r="H18" i="4"/>
  <c r="H20" i="4" s="1"/>
  <c r="G18" i="4"/>
  <c r="F18" i="4"/>
  <c r="E18" i="4"/>
  <c r="U5" i="4"/>
  <c r="V5" i="4" s="1"/>
  <c r="E20" i="2"/>
  <c r="D36" i="12" l="1"/>
  <c r="R20" i="4"/>
  <c r="D31" i="8"/>
  <c r="G28" i="5"/>
  <c r="K20" i="4"/>
  <c r="K21" i="2"/>
  <c r="F6" i="11"/>
  <c r="G5" i="11"/>
  <c r="G35" i="12"/>
  <c r="O20" i="4"/>
  <c r="F36" i="12"/>
  <c r="E5" i="11"/>
  <c r="I20" i="4"/>
  <c r="E21" i="2"/>
  <c r="E20" i="4"/>
  <c r="D6" i="11"/>
  <c r="E24" i="5"/>
  <c r="G24" i="5"/>
  <c r="F20" i="4"/>
  <c r="J20" i="4"/>
  <c r="I21" i="2"/>
  <c r="G20" i="4"/>
  <c r="U20" i="2"/>
  <c r="U21" i="2" s="1"/>
  <c r="E35" i="12"/>
  <c r="G30" i="12"/>
  <c r="G36" i="12" s="1"/>
  <c r="E30" i="12"/>
  <c r="E30" i="8"/>
  <c r="E23" i="8"/>
  <c r="G23" i="8"/>
  <c r="G31" i="8" s="1"/>
  <c r="G35" i="5"/>
  <c r="E35" i="5"/>
  <c r="F31" i="8"/>
  <c r="O19" i="4"/>
  <c r="O21" i="4" s="1"/>
  <c r="L19" i="4"/>
  <c r="L21" i="4" s="1"/>
  <c r="J19" i="4"/>
  <c r="J21" i="4" s="1"/>
  <c r="I19" i="4"/>
  <c r="T19" i="4"/>
  <c r="T21" i="4" s="1"/>
  <c r="H19" i="4"/>
  <c r="H21" i="4" s="1"/>
  <c r="S19" i="4"/>
  <c r="S21" i="4" s="1"/>
  <c r="G19" i="4"/>
  <c r="G21" i="4" s="1"/>
  <c r="R19" i="4"/>
  <c r="R21" i="4" s="1"/>
  <c r="P19" i="4"/>
  <c r="P21" i="4" s="1"/>
  <c r="F19" i="4"/>
  <c r="F21" i="4" s="1"/>
  <c r="Q19" i="4"/>
  <c r="Q21" i="4" s="1"/>
  <c r="N19" i="4"/>
  <c r="N21" i="4" s="1"/>
  <c r="M19" i="4"/>
  <c r="M21" i="4" s="1"/>
  <c r="K19" i="4"/>
  <c r="K21" i="4" s="1"/>
  <c r="E19" i="4"/>
  <c r="U18" i="4"/>
  <c r="E36" i="12" l="1"/>
  <c r="G6" i="11"/>
  <c r="I21" i="4"/>
  <c r="E21" i="4"/>
  <c r="E6" i="11"/>
  <c r="U19" i="4"/>
  <c r="V19" i="4" s="1"/>
  <c r="U20" i="4"/>
  <c r="E31" i="8"/>
  <c r="V18" i="4"/>
  <c r="V20" i="2"/>
  <c r="V21" i="2" s="1"/>
  <c r="V21" i="4" l="1"/>
  <c r="U21" i="4"/>
  <c r="V20" i="4"/>
</calcChain>
</file>

<file path=xl/sharedStrings.xml><?xml version="1.0" encoding="utf-8"?>
<sst xmlns="http://schemas.openxmlformats.org/spreadsheetml/2006/main" count="373" uniqueCount="281">
  <si>
    <t>МИНИСТЕРСТВО НАУКИ И ВЫСШЕГО ОБРАЗОВАНИЯ РОССИЙСКОЙ ФЕДЕРАЦИИ</t>
  </si>
  <si>
    <t xml:space="preserve">федеральное государственное бюджетное образовательное </t>
  </si>
  <si>
    <t>учреждение высшего образования</t>
  </si>
  <si>
    <t>«УЛЬЯНОВСКИЙ ГОСУДАРСТВЕННЫЙ ТЕХНИЧЕСКИЙ УНИВЕРСИТЕТ»</t>
  </si>
  <si>
    <t>ИНДИВИДУАЛЬНЫЙ ПЛАН</t>
  </si>
  <si>
    <t>ПРЕПОДАВАТЕЛЯ</t>
  </si>
  <si>
    <t>(на 1 год)</t>
  </si>
  <si>
    <t>Факультет</t>
  </si>
  <si>
    <t>Кафедра</t>
  </si>
  <si>
    <t>Фамилия</t>
  </si>
  <si>
    <t>Имя</t>
  </si>
  <si>
    <t>Отчество</t>
  </si>
  <si>
    <t>Должность</t>
  </si>
  <si>
    <t>Год рождения</t>
  </si>
  <si>
    <t>Ученая степень и год присуждения</t>
  </si>
  <si>
    <t>Ученое звание и год присвоения</t>
  </si>
  <si>
    <t>ИСТ</t>
  </si>
  <si>
    <t>Утверждаю</t>
  </si>
  <si>
    <t>Дисциплина
N группы
(потока)</t>
  </si>
  <si>
    <t>количество часов по видам учебной работы</t>
  </si>
  <si>
    <t>Студентов</t>
  </si>
  <si>
    <t>Лекции</t>
  </si>
  <si>
    <t>Итого за семестр</t>
  </si>
  <si>
    <t>Фактически выполнено</t>
  </si>
  <si>
    <t>практ. Занятия и семинары</t>
  </si>
  <si>
    <t>лабораторные занятия</t>
  </si>
  <si>
    <t>курсовое проектирование</t>
  </si>
  <si>
    <t>консультации</t>
  </si>
  <si>
    <t>зачеты</t>
  </si>
  <si>
    <t>экзамены</t>
  </si>
  <si>
    <t>Диф. Зачеты</t>
  </si>
  <si>
    <t>руководство практиками студентов</t>
  </si>
  <si>
    <t>расчетно-графические работы</t>
  </si>
  <si>
    <t>работа в ГИА</t>
  </si>
  <si>
    <t>Рефераты, РГР</t>
  </si>
  <si>
    <t>руководство аспирантами</t>
  </si>
  <si>
    <t>Другие виды работ</t>
  </si>
  <si>
    <t>всего часов</t>
  </si>
  <si>
    <t>всего часов фактически</t>
  </si>
  <si>
    <t>1. УЧЕБНАЯ РАБОТА</t>
  </si>
  <si>
    <t xml:space="preserve">a) Осенний семестр </t>
  </si>
  <si>
    <t xml:space="preserve">a) Весенний семестр </t>
  </si>
  <si>
    <t>Итого за учебный год по ВО</t>
  </si>
  <si>
    <t>Фактически  выполнено за учебный год по ВО</t>
  </si>
  <si>
    <t xml:space="preserve">2. УЧЕБНО-МЕТОДИЧЕСКАЯ РАБОТА </t>
  </si>
  <si>
    <t>(учитывается по второй половине рабочего дня)</t>
  </si>
  <si>
    <t>Осенний семестр</t>
  </si>
  <si>
    <t>Весенний семестр</t>
  </si>
  <si>
    <t>кол-во часов</t>
  </si>
  <si>
    <t>по плану</t>
  </si>
  <si>
    <t>факт.
выполн.</t>
  </si>
  <si>
    <t>Вид работы</t>
  </si>
  <si>
    <t>Нормы времени</t>
  </si>
  <si>
    <t>2.1. Подготовка к лекционным, практическим, семинарским, лабораторным занятиям 
и другие виды учебно-методической работы (для программ ВО)</t>
  </si>
  <si>
    <t>2.1.1</t>
  </si>
  <si>
    <t>2.1.2</t>
  </si>
  <si>
    <t>2.1.3</t>
  </si>
  <si>
    <t>2.1.4</t>
  </si>
  <si>
    <t>2.1.5</t>
  </si>
  <si>
    <t>2.1.6</t>
  </si>
  <si>
    <t>2.1.7</t>
  </si>
  <si>
    <t>2.1.8</t>
  </si>
  <si>
    <t>Всего часов</t>
  </si>
  <si>
    <t xml:space="preserve">2.2. Подготовка электронных обучающих ресурсов (ЭОР) в ЭИОС </t>
  </si>
  <si>
    <t xml:space="preserve">нормируемой работы, выполняемой в течение 6-часового рабочего дня </t>
  </si>
  <si>
    <t>1 Учебная работа</t>
  </si>
  <si>
    <t>2 Учебно-методическая работа</t>
  </si>
  <si>
    <t>3 Научно-исследовательская работа (по 
госбюджету)</t>
  </si>
  <si>
    <t>4 Организационно-методическая работа</t>
  </si>
  <si>
    <t>Всего</t>
  </si>
  <si>
    <t>план на год в
часах</t>
  </si>
  <si>
    <t xml:space="preserve">факт. выполн.
в часах </t>
  </si>
  <si>
    <t>примечание</t>
  </si>
  <si>
    <t>Форма повышения квалификации преподавателя</t>
  </si>
  <si>
    <t>Срок выполнения
(причина невыполнения)</t>
  </si>
  <si>
    <t>Замечания зав. кафедрой и декана о выполнении преподавателем плана работы за учебный год</t>
  </si>
  <si>
    <t>Дата</t>
  </si>
  <si>
    <t>Содержание замечаний</t>
  </si>
  <si>
    <t>Преподаватель</t>
  </si>
  <si>
    <t>Зав. кафедрой</t>
  </si>
  <si>
    <t>Декан факультета</t>
  </si>
  <si>
    <t>(К. В. Святов)</t>
  </si>
  <si>
    <t>)</t>
  </si>
  <si>
    <t xml:space="preserve">
План повышения квалификации за учебный год</t>
  </si>
  <si>
    <t>Подготовка к лекциям</t>
  </si>
  <si>
    <t>Подготовка к практическим, семинарским и лабораторным занятиям</t>
  </si>
  <si>
    <t>Подготовка задания на курсовую работу</t>
  </si>
  <si>
    <t>Подготовка презентационных материалов для лекций</t>
  </si>
  <si>
    <t>Составление экзаменационных билетов</t>
  </si>
  <si>
    <t>До 10 часов на один комплект</t>
  </si>
  <si>
    <t>Подготовка задания на ВКР бакалавров</t>
  </si>
  <si>
    <t xml:space="preserve">2.3. Использование в учебном процессе электронных обучающих ресурсов (ЭОР) </t>
  </si>
  <si>
    <t>Итого часов по данному разделу</t>
  </si>
  <si>
    <t xml:space="preserve">3.1. Написание и подготовка к изданию монографий, научных статей, докладов, заявок на изобретение  </t>
  </si>
  <si>
    <t xml:space="preserve"> 3.2. Другие виды научно-исследовательских работ  </t>
  </si>
  <si>
    <t>4. ОРГАНИЗАЦИОННО-МЕТОДИЧЕСКАЯ РАБОТА</t>
  </si>
  <si>
    <t>4.1. Участие в проведении работы по профессиональной ориентации молодежи при поступлении в вуз,
исполнение обязанностей, проведение олимпиад, конференций и другие организационно-методические 
работы</t>
  </si>
  <si>
    <t>Перечень опубликованных в учебном году научных и научно-методических работ</t>
  </si>
  <si>
    <t>№</t>
  </si>
  <si>
    <t>Название</t>
  </si>
  <si>
    <t>Объем (п.л.)</t>
  </si>
  <si>
    <t>Издательство</t>
  </si>
  <si>
    <t>Год</t>
  </si>
  <si>
    <t>Вид публикации (учебник, учебное пособие, монография, методические указания, статья, тезисы и т. п.)</t>
  </si>
  <si>
    <t>Перечень материалов, сданных в учебном году в печать</t>
  </si>
  <si>
    <t>Участие в хоздоговорной НИР</t>
  </si>
  <si>
    <t>(сверх 6-часового рабочего дня преподавателя – для ВО)</t>
  </si>
  <si>
    <t>Содержание выполняемой работы •</t>
  </si>
  <si>
    <t>В качестве кого участвует в НИР</t>
  </si>
  <si>
    <t>Планируемый срок выполнения</t>
  </si>
  <si>
    <t>Отметка о фактическом выполнении</t>
  </si>
  <si>
    <t>(количество занимаемых ставок –</t>
  </si>
  <si>
    <t>рецензирование дипл. Проектов
(вып. работ)</t>
  </si>
  <si>
    <t>рук-во дипл. Проектом
(вып. работой)</t>
  </si>
  <si>
    <t>рук-во дипл. проектом
(вып. работой)</t>
  </si>
  <si>
    <t>практ. занятия и семинары</t>
  </si>
  <si>
    <t>Подготовка к лекциям по дисциплинам, вновь вводимым учебным планом или проводимым впервые</t>
  </si>
  <si>
    <t>До 3 часов на 1 ак. час</t>
  </si>
  <si>
    <t>До 0,75 часа на 1 ак. час</t>
  </si>
  <si>
    <t>До 0,25 часа на 1 ак. час</t>
  </si>
  <si>
    <t>До 0,5 часа на одну работу студента</t>
  </si>
  <si>
    <t>Составление вариантов заданий для самостоятельной работы студентов и контрольных работ</t>
  </si>
  <si>
    <t>Составление задания на производственную практику</t>
  </si>
  <si>
    <t>До 0,75 часа на 1 работу</t>
  </si>
  <si>
    <t>Подготовка задания на курсовой проект</t>
  </si>
  <si>
    <t>До 1 часа на одно задание</t>
  </si>
  <si>
    <t>До 2 часа на группу</t>
  </si>
  <si>
    <t>Составление задания на выполнение графических работ</t>
  </si>
  <si>
    <t>До 0,5 часа на одну задание</t>
  </si>
  <si>
    <t>До 2 часов на 1 ак. час, но не более 100 часов за учебный год на одну ставку по всем дисциплинам</t>
  </si>
  <si>
    <t>Составление рабочих программ курсов</t>
  </si>
  <si>
    <t>До 0,5 часа на 1 час контактной работы курса</t>
  </si>
  <si>
    <t>Переработка рабочей программы</t>
  </si>
  <si>
    <t>До 0,25 часа на 1 час контактной работы курса</t>
  </si>
  <si>
    <t>Подготовка задания на дипломный проект (работу) специалистов, ВКР магистров</t>
  </si>
  <si>
    <t>До 4 часов на одно задание</t>
  </si>
  <si>
    <t>До 2 часов на одно задание</t>
  </si>
  <si>
    <t>Рецензирование реферата по специальности при поступлении в аспирантуру, реферата по иностранному языку*</t>
  </si>
  <si>
    <t>2 часа за один реферат</t>
  </si>
  <si>
    <t>0,3 часа на 1 аспиранта</t>
  </si>
  <si>
    <t>Подбор литературы для письменной части кандидатского экзамена по иностранному языку*</t>
  </si>
  <si>
    <t>2.1.9</t>
  </si>
  <si>
    <t>2.1.10</t>
  </si>
  <si>
    <t>2.1.11</t>
  </si>
  <si>
    <t>2.1.12</t>
  </si>
  <si>
    <t>2.1.13</t>
  </si>
  <si>
    <t>2.1.14</t>
  </si>
  <si>
    <t>2.1.15</t>
  </si>
  <si>
    <t>2.1.16</t>
  </si>
  <si>
    <t>Корректировка содержания ЭОР</t>
  </si>
  <si>
    <t>Лекц./КИМ/Практ.
10/10/10</t>
  </si>
  <si>
    <t>Подготовка в ЭИОС электронного ресурса по дисциплине технического профиля в зависимости от объема ауд. часов:
- до 50 часов;
- от 51 до 100 часов;
- 101 и более часов</t>
  </si>
  <si>
    <t>Часов на виды работ:
Лекц./КИМ/Практ.
50/30/20
85/50/40
120/65/50</t>
  </si>
  <si>
    <t>2.2.1</t>
  </si>
  <si>
    <t>2.2.2</t>
  </si>
  <si>
    <t>Регистрация обучающихся студентов в электронной образовательной среде</t>
  </si>
  <si>
    <t>Контактная работа с обучающимися с использованием ЭОР</t>
  </si>
  <si>
    <t>Проверка тестовых и практических заданий</t>
  </si>
  <si>
    <t>0,1 часа на 1 обучающегося</t>
  </si>
  <si>
    <t>0,2 часа на 1 обучающегося в семестр</t>
  </si>
  <si>
    <t>0,4 часа на 1 обучающегося</t>
  </si>
  <si>
    <t>Формирование статистики по успеваемости обучающихся</t>
  </si>
  <si>
    <t>Другие виды работ, не вошедшие в перечень</t>
  </si>
  <si>
    <t>По предложениям кафедр и факультетов, согласованным с Учебным управлением</t>
  </si>
  <si>
    <t>2.3.1</t>
  </si>
  <si>
    <t>2.3.4</t>
  </si>
  <si>
    <t>2.3.2</t>
  </si>
  <si>
    <t>2.3.3</t>
  </si>
  <si>
    <t>2.3.5</t>
  </si>
  <si>
    <t>Разработка, написание и внутривузовское издание учебно-методических материалов по вновь проводимым дисциплинам</t>
  </si>
  <si>
    <t>Переработка и внутривузовское издание учебно-методических материалов</t>
  </si>
  <si>
    <t>Написание учебников, учебных пособий с грифом УМО (без дополнительной оплаты)</t>
  </si>
  <si>
    <t>До 50 часов на 1 п. л.</t>
  </si>
  <si>
    <t>До 30 часов на 1 п. л.</t>
  </si>
  <si>
    <t>До 75 часов на 1 п. л.</t>
  </si>
  <si>
    <t>2.4.1</t>
  </si>
  <si>
    <t>2.4.2</t>
  </si>
  <si>
    <t>2.4.3</t>
  </si>
  <si>
    <t>Издание монографии в издательстве УлГТУ</t>
  </si>
  <si>
    <t>Издание монографии в книжном издательстве России, за рубежом на русском языке</t>
  </si>
  <si>
    <t>Издание за рубежом монографии на иностранном языке</t>
  </si>
  <si>
    <t>Подготовка и публикация статьи в ведущих журналах (наличие журнала в Web of Science и SCOPUS)</t>
  </si>
  <si>
    <t>Подготовка и публикация статей в журнале из списка ВАК</t>
  </si>
  <si>
    <t>Подготовка и публикация статей в периодических изданиях (обязательно наличие ISBN, ISSN)</t>
  </si>
  <si>
    <t>Публикация статьи в других изданиях</t>
  </si>
  <si>
    <t>Издание тезисов доклада:</t>
  </si>
  <si>
    <t>а) на международной конференции</t>
  </si>
  <si>
    <t>б) на Российской конференции</t>
  </si>
  <si>
    <t>в) на университетской или региональной конференции</t>
  </si>
  <si>
    <t>Подготовка и подача заявки на изобретение</t>
  </si>
  <si>
    <t>Подготовка и подача заявки на грант с финансированием из фонда до 1 млн. руб.</t>
  </si>
  <si>
    <t xml:space="preserve">Подготовка и подача заявки на грант с финансированием из фонда от 1 до 10 млн. руб. </t>
  </si>
  <si>
    <t>Подготовка и подача заявки на грант с финансированием из фонта более 10 млн. руб.</t>
  </si>
  <si>
    <t>3.1.1</t>
  </si>
  <si>
    <t>3.1.2</t>
  </si>
  <si>
    <t>3.1.3</t>
  </si>
  <si>
    <t>3.1.4</t>
  </si>
  <si>
    <t>3.1.5</t>
  </si>
  <si>
    <t>3.1.6</t>
  </si>
  <si>
    <t>3.1.7</t>
  </si>
  <si>
    <t>3.1.8</t>
  </si>
  <si>
    <t>3.1.9</t>
  </si>
  <si>
    <t>3.1.10</t>
  </si>
  <si>
    <t>3.1.11</t>
  </si>
  <si>
    <t>3.1.12</t>
  </si>
  <si>
    <t>До 50 часов на 1 п.л.</t>
  </si>
  <si>
    <t>До 100 часов на 1 п.л.</t>
  </si>
  <si>
    <t>До 140 часов на 1 п.л.</t>
  </si>
  <si>
    <t>До 20 часов на 1 п.л.</t>
  </si>
  <si>
    <t>До 40 часов на 1 п.л.</t>
  </si>
  <si>
    <t>До 15 часов на 1 п.л.</t>
  </si>
  <si>
    <t>До 10 часов на 1 п.л.</t>
  </si>
  <si>
    <t>До 50 часов на 1 заявку</t>
  </si>
  <si>
    <t>До 20 часов на 1 заявку</t>
  </si>
  <si>
    <t>До 15 часов на 1 заявку</t>
  </si>
  <si>
    <t>Рецензирование учебников, учебных пособий, монографий, научных статей и докладов, авторефератов, диссертаций и др.</t>
  </si>
  <si>
    <t>Руководство госбюджетной научно-исследовательской лабораторией</t>
  </si>
  <si>
    <t>До 60 часов в год</t>
  </si>
  <si>
    <t>До 10 часов на одну работу</t>
  </si>
  <si>
    <t>До 5 часов на одну работу</t>
  </si>
  <si>
    <t>До 100 часов в год</t>
  </si>
  <si>
    <t>Подготовка студенческих научных работ и экспонатов для университетских конференций и выставок</t>
  </si>
  <si>
    <t>Подготовка студенческих научных работ и экспонатов для региональных и всероссийских конференций и выставок</t>
  </si>
  <si>
    <t>Научно-методическое руководство лабораторией, имеющей финансировано финансирование</t>
  </si>
  <si>
    <t>Исполнение обязанностей:</t>
  </si>
  <si>
    <t>- заместителя декана по НИР и НИРС, воспитательной, спортивно-массовой работе;</t>
  </si>
  <si>
    <t>- секретаря Ученого совета университета;</t>
  </si>
  <si>
    <t>- секретаря Ученого совета факультета;</t>
  </si>
  <si>
    <t>- заместителя заведующего кафедрой;</t>
  </si>
  <si>
    <t>- ответсвенного по НИРС на кафедре;</t>
  </si>
  <si>
    <t>- члена научно-методического совета университета;</t>
  </si>
  <si>
    <t>- руководителя методических комиссий факультета;</t>
  </si>
  <si>
    <t>- технического секретаря ГЭК</t>
  </si>
  <si>
    <t>Работа в качестве куратора группы (включая разработку годовых планов работы и подготовку отчетов)</t>
  </si>
  <si>
    <t>До 50 часов в год</t>
  </si>
  <si>
    <t>Организационная работа по проведению олимпиад или конкурсов, по подготовке студентов к участию в олимпиадах или конкурсах:</t>
  </si>
  <si>
    <t>- межвузовских (региональных)</t>
  </si>
  <si>
    <t>- всероссийскийх</t>
  </si>
  <si>
    <t>- международных</t>
  </si>
  <si>
    <t>Работа в приемной комиссии в качестве:</t>
  </si>
  <si>
    <t>Взаимное посещение занятий (с оформлением в журнале взаимопосещений и в индивидуальном плане преподавателя)</t>
  </si>
  <si>
    <t>Работа в качестве ответственного за трудоустройство выпускников и практику студентов выпускающей кафедры</t>
  </si>
  <si>
    <t>4.2. Организационно-методическая работа по физической подготовке</t>
  </si>
  <si>
    <t>До 70 часов в год</t>
  </si>
  <si>
    <t>2,5 часа на одно посещение</t>
  </si>
  <si>
    <t>До 200 часов</t>
  </si>
  <si>
    <t>До 600 часов</t>
  </si>
  <si>
    <t>До 100 часов на одну олимпиаду, конкурс</t>
  </si>
  <si>
    <t>До 75 часов на одну олимпиаду, конкурс</t>
  </si>
  <si>
    <t>До 50 часов на одну олимпиаду, конкурс</t>
  </si>
  <si>
    <t>- ответственного секретаря;</t>
  </si>
  <si>
    <t>- зам.ответсвенного секретаря;</t>
  </si>
  <si>
    <t>- председателя экзаменационной комиссии;</t>
  </si>
  <si>
    <t>- председателя предметной комиссии;</t>
  </si>
  <si>
    <t>- председателя экзаменационной комиссии по приему в магистратуру;</t>
  </si>
  <si>
    <t>До 1 часа на одного экзаменующегося/за-нимающегося</t>
  </si>
  <si>
    <t>До 600 часов в год</t>
  </si>
  <si>
    <t>4.1.1</t>
  </si>
  <si>
    <t>4.1.2</t>
  </si>
  <si>
    <t>4.1.3</t>
  </si>
  <si>
    <t>4.1.4</t>
  </si>
  <si>
    <t>4.1.5</t>
  </si>
  <si>
    <t>4.1.6</t>
  </si>
  <si>
    <t>Зав. кафедрой _______________А.А.Романов___</t>
  </si>
  <si>
    <t>(А.А.Романов)</t>
  </si>
  <si>
    <t>«Информационные системы»</t>
  </si>
  <si>
    <t xml:space="preserve">Андреев </t>
  </si>
  <si>
    <t>Илья</t>
  </si>
  <si>
    <t>Алексеевич</t>
  </si>
  <si>
    <t>доцент</t>
  </si>
  <si>
    <t>к.т.н.</t>
  </si>
  <si>
    <t>09.03.03 ИСЭбд-2 Организация вычислительных машин и систем</t>
  </si>
  <si>
    <t>09.03.04 ПИбд-2 Организация вычислительных машин и систем</t>
  </si>
  <si>
    <t>09.03.04. ПИбд-2 Современные сервисные платформенные решения</t>
  </si>
  <si>
    <t>09.03.03 ИСЭбд-4 Гос.экзамен бакалавра (консультации)</t>
  </si>
  <si>
    <t>09.03.04 ПИбд-4 Гос.экзамен бакалавра (консультации)</t>
  </si>
  <si>
    <t>( И.А.Андреев)</t>
  </si>
  <si>
    <r>
      <t xml:space="preserve">1.1 Нагрузка преподавателя по программам высшего образования (ВО)     </t>
    </r>
    <r>
      <rPr>
        <sz val="12"/>
        <color rgb="FF00000A"/>
        <rFont val="Times New Roman"/>
        <family val="1"/>
        <charset val="204"/>
      </rPr>
      <t xml:space="preserve">2025/2026уч. год </t>
    </r>
  </si>
  <si>
    <t>"____"______________________2025г</t>
  </si>
  <si>
    <r>
      <t>на 2025/2026 учебный год</t>
    </r>
    <r>
      <rPr>
        <sz val="12"/>
        <color rgb="FF00000A"/>
        <rFont val="Times New Roman"/>
        <family val="1"/>
        <charset val="204"/>
      </rPr>
      <t xml:space="preserve"> </t>
    </r>
  </si>
  <si>
    <t>СВОДНАЯ ТАБЛИЦА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</si>
</sst>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;\-0;;@"/>
  </numFmts>
  <fonts count="20" x14ac:knownFonts="1">
    <font>
      <sz val="11"/>
      <color theme="1"/>
      <name val="Calibri"/>
      <family val="2"/>
      <charset val="204"/>
      <scheme val="minor"/>
    </font>
    <font>
      <b/>
      <sz val="11"/>
      <color rgb="FF00000A"/>
      <name val="Times New Roman"/>
      <family val="1"/>
      <charset val="204"/>
    </font>
    <font>
      <b/>
      <sz val="12"/>
      <color rgb="FF00000A"/>
      <name val="Times New Roman"/>
      <family val="1"/>
      <charset val="204"/>
    </font>
    <font>
      <b/>
      <sz val="20"/>
      <color rgb="FF00000A"/>
      <name val="Times New Roman"/>
      <family val="1"/>
      <charset val="204"/>
    </font>
    <font>
      <sz val="16"/>
      <color rgb="FF00000A"/>
      <name val="Times New Roman"/>
      <family val="1"/>
      <charset val="204"/>
    </font>
    <font>
      <sz val="10"/>
      <color theme="1"/>
      <name val="Times New Roman"/>
      <family val="1"/>
      <charset val="204"/>
    </font>
    <font>
      <b/>
      <sz val="10"/>
      <color theme="1"/>
      <name val="Times New Roman"/>
      <family val="1"/>
      <charset val="204"/>
    </font>
    <font>
      <b/>
      <sz val="11"/>
      <color theme="1"/>
      <name val="Calibri"/>
      <family val="2"/>
      <charset val="204"/>
      <scheme val="minor"/>
    </font>
    <font>
      <sz val="12"/>
      <color theme="1"/>
      <name val="Times New Roman"/>
      <family val="1"/>
      <charset val="204"/>
    </font>
    <font>
      <b/>
      <sz val="12"/>
      <color theme="1"/>
      <name val="Times New Roman"/>
      <family val="1"/>
      <charset val="204"/>
    </font>
    <font>
      <sz val="10"/>
      <color rgb="FF00000A"/>
      <name val="Times New Roman"/>
      <family val="1"/>
      <charset val="204"/>
    </font>
    <font>
      <sz val="11"/>
      <color rgb="FF00000A"/>
      <name val="Times New Roman"/>
      <family val="1"/>
      <charset val="204"/>
    </font>
    <font>
      <sz val="12"/>
      <color rgb="FF00000A"/>
      <name val="Times New Roman"/>
      <family val="1"/>
      <charset val="204"/>
    </font>
    <font>
      <sz val="8"/>
      <color theme="1"/>
      <name val="Calibri"/>
      <family val="2"/>
      <charset val="204"/>
      <scheme val="minor"/>
    </font>
    <font>
      <sz val="8"/>
      <name val="Calibri"/>
      <family val="2"/>
      <charset val="204"/>
      <scheme val="minor"/>
    </font>
    <font>
      <b/>
      <i/>
      <sz val="12"/>
      <color theme="1"/>
      <name val="Arial"/>
      <family val="2"/>
      <charset val="204"/>
    </font>
    <font>
      <b/>
      <i/>
      <sz val="14"/>
      <color rgb="FF00000A"/>
      <name val="Arial"/>
      <family val="2"/>
      <charset val="204"/>
    </font>
    <font>
      <b/>
      <i/>
      <sz val="12"/>
      <color rgb="FF000000"/>
      <name val="Arial"/>
      <family val="2"/>
      <charset val="204"/>
    </font>
    <font>
      <b/>
      <i/>
      <sz val="12"/>
      <color rgb="FF000000"/>
      <name val="Times New Roman"/>
      <family val="1"/>
      <charset val="204"/>
    </font>
    <font>
      <sz val="12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5" fillId="0" borderId="0" xfId="0" applyFont="1"/>
    <xf numFmtId="0" fontId="5" fillId="0" borderId="1" xfId="0" applyFont="1" applyBorder="1"/>
    <xf numFmtId="0" fontId="0" fillId="0" borderId="1" xfId="0" applyBorder="1"/>
    <xf numFmtId="0" fontId="6" fillId="0" borderId="1" xfId="0" applyFont="1" applyBorder="1"/>
    <xf numFmtId="164" fontId="6" fillId="0" borderId="1" xfId="0" applyNumberFormat="1" applyFont="1" applyBorder="1"/>
    <xf numFmtId="164" fontId="5" fillId="0" borderId="1" xfId="0" applyNumberFormat="1" applyFont="1" applyBorder="1"/>
    <xf numFmtId="164" fontId="5" fillId="0" borderId="1" xfId="0" applyNumberFormat="1" applyFont="1" applyBorder="1" applyAlignment="1">
      <alignment vertical="top" wrapText="1"/>
    </xf>
    <xf numFmtId="164" fontId="6" fillId="0" borderId="1" xfId="0" applyNumberFormat="1" applyFont="1" applyBorder="1" applyAlignment="1">
      <alignment vertical="top" wrapText="1"/>
    </xf>
    <xf numFmtId="0" fontId="0" fillId="0" borderId="0" xfId="0" applyAlignment="1">
      <alignment vertical="top" wrapText="1"/>
    </xf>
    <xf numFmtId="0" fontId="8" fillId="0" borderId="0" xfId="0" applyFont="1"/>
    <xf numFmtId="0" fontId="13" fillId="0" borderId="1" xfId="0" applyFont="1" applyBorder="1" applyAlignment="1">
      <alignment horizontal="center"/>
    </xf>
    <xf numFmtId="49" fontId="5" fillId="0" borderId="1" xfId="0" quotePrefix="1" applyNumberFormat="1" applyFont="1" applyBorder="1"/>
    <xf numFmtId="0" fontId="10" fillId="0" borderId="1" xfId="0" applyFont="1" applyBorder="1" applyAlignment="1">
      <alignment vertical="top" wrapText="1"/>
    </xf>
    <xf numFmtId="14" fontId="5" fillId="0" borderId="1" xfId="0" applyNumberFormat="1" applyFont="1" applyBorder="1"/>
    <xf numFmtId="0" fontId="13" fillId="0" borderId="1" xfId="0" applyFont="1" applyBorder="1" applyAlignment="1">
      <alignment vertical="top"/>
    </xf>
    <xf numFmtId="0" fontId="13" fillId="0" borderId="1" xfId="0" applyFont="1" applyBorder="1" applyAlignment="1">
      <alignment vertical="top" wrapText="1"/>
    </xf>
    <xf numFmtId="0" fontId="5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vertical="top"/>
    </xf>
    <xf numFmtId="0" fontId="5" fillId="0" borderId="1" xfId="0" applyFont="1" applyBorder="1" applyAlignment="1">
      <alignment horizontal="center" vertical="center" textRotation="90" wrapText="1"/>
    </xf>
    <xf numFmtId="0" fontId="6" fillId="0" borderId="1" xfId="0" applyFont="1" applyBorder="1" applyAlignment="1">
      <alignment horizontal="center" vertical="center" textRotation="90" wrapText="1"/>
    </xf>
    <xf numFmtId="0" fontId="5" fillId="0" borderId="1" xfId="0" applyFont="1" applyBorder="1" applyAlignment="1">
      <alignment wrapText="1"/>
    </xf>
    <xf numFmtId="0" fontId="5" fillId="0" borderId="1" xfId="0" applyFont="1" applyBorder="1" applyAlignment="1">
      <alignment horizontal="left" wrapText="1"/>
    </xf>
    <xf numFmtId="0" fontId="5" fillId="0" borderId="1" xfId="0" quotePrefix="1" applyFont="1" applyBorder="1" applyAlignment="1">
      <alignment horizontal="center"/>
    </xf>
    <xf numFmtId="14" fontId="5" fillId="0" borderId="1" xfId="0" quotePrefix="1" applyNumberFormat="1" applyFont="1" applyBorder="1"/>
    <xf numFmtId="0" fontId="5" fillId="0" borderId="1" xfId="0" applyFont="1" applyBorder="1" applyAlignment="1">
      <alignment vertical="top" wrapText="1"/>
    </xf>
    <xf numFmtId="0" fontId="6" fillId="0" borderId="0" xfId="0" applyFont="1" applyAlignment="1">
      <alignment horizontal="center"/>
    </xf>
    <xf numFmtId="0" fontId="6" fillId="0" borderId="0" xfId="0" applyFont="1"/>
    <xf numFmtId="164" fontId="6" fillId="0" borderId="0" xfId="0" applyNumberFormat="1" applyFont="1"/>
    <xf numFmtId="0" fontId="5" fillId="0" borderId="1" xfId="0" applyFont="1" applyBorder="1" applyAlignment="1">
      <alignment horizontal="left" vertical="top"/>
    </xf>
    <xf numFmtId="0" fontId="11" fillId="0" borderId="1" xfId="0" applyFont="1" applyBorder="1" applyAlignment="1">
      <alignment horizontal="center" vertical="center" wrapText="1"/>
    </xf>
    <xf numFmtId="0" fontId="5" fillId="0" borderId="9" xfId="0" applyFont="1" applyBorder="1" applyAlignment="1">
      <alignment horizontal="center" vertical="center"/>
    </xf>
    <xf numFmtId="0" fontId="10" fillId="0" borderId="9" xfId="0" applyFont="1" applyBorder="1" applyAlignment="1">
      <alignment horizontal="center" vertical="center" wrapText="1"/>
    </xf>
    <xf numFmtId="164" fontId="13" fillId="0" borderId="1" xfId="0" applyNumberFormat="1" applyFont="1" applyBorder="1" applyAlignment="1">
      <alignment vertical="top"/>
    </xf>
    <xf numFmtId="164" fontId="13" fillId="0" borderId="1" xfId="0" applyNumberFormat="1" applyFont="1" applyBorder="1" applyAlignment="1">
      <alignment vertical="top" wrapText="1"/>
    </xf>
    <xf numFmtId="164" fontId="13" fillId="0" borderId="1" xfId="0" applyNumberFormat="1" applyFont="1" applyBorder="1" applyAlignment="1">
      <alignment horizontal="center"/>
    </xf>
    <xf numFmtId="164" fontId="5" fillId="0" borderId="1" xfId="0" quotePrefix="1" applyNumberFormat="1" applyFont="1" applyBorder="1"/>
    <xf numFmtId="164" fontId="10" fillId="0" borderId="1" xfId="0" applyNumberFormat="1" applyFont="1" applyBorder="1" applyAlignment="1">
      <alignment vertical="top" wrapText="1"/>
    </xf>
    <xf numFmtId="164" fontId="10" fillId="0" borderId="7" xfId="0" applyNumberFormat="1" applyFont="1" applyBorder="1" applyAlignment="1">
      <alignment vertical="top" wrapText="1"/>
    </xf>
    <xf numFmtId="164" fontId="5" fillId="0" borderId="1" xfId="0" applyNumberFormat="1" applyFont="1" applyBorder="1" applyAlignment="1">
      <alignment wrapText="1"/>
    </xf>
    <xf numFmtId="164" fontId="5" fillId="0" borderId="1" xfId="0" applyNumberFormat="1" applyFont="1" applyBorder="1" applyAlignment="1">
      <alignment horizontal="center" vertical="center" wrapText="1"/>
    </xf>
    <xf numFmtId="164" fontId="5" fillId="0" borderId="8" xfId="0" applyNumberFormat="1" applyFont="1" applyBorder="1" applyAlignment="1">
      <alignment wrapText="1"/>
    </xf>
    <xf numFmtId="164" fontId="5" fillId="0" borderId="1" xfId="0" applyNumberFormat="1" applyFont="1" applyBorder="1" applyAlignment="1">
      <alignment horizontal="center"/>
    </xf>
    <xf numFmtId="164" fontId="10" fillId="0" borderId="1" xfId="0" quotePrefix="1" applyNumberFormat="1" applyFont="1" applyBorder="1" applyAlignment="1">
      <alignment vertical="top" wrapText="1"/>
    </xf>
    <xf numFmtId="164" fontId="6" fillId="0" borderId="1" xfId="0" applyNumberFormat="1" applyFont="1" applyBorder="1" applyAlignment="1">
      <alignment vertical="top"/>
    </xf>
    <xf numFmtId="0" fontId="8" fillId="0" borderId="0" xfId="0" applyFont="1" applyFill="1"/>
    <xf numFmtId="0" fontId="9" fillId="0" borderId="0" xfId="0" applyFont="1" applyFill="1"/>
    <xf numFmtId="0" fontId="0" fillId="0" borderId="0" xfId="0" applyFill="1"/>
    <xf numFmtId="0" fontId="5" fillId="0" borderId="1" xfId="0" applyFont="1" applyFill="1" applyBorder="1" applyAlignment="1">
      <alignment horizontal="center" vertical="center" textRotation="90" wrapText="1"/>
    </xf>
    <xf numFmtId="0" fontId="6" fillId="0" borderId="1" xfId="0" applyFont="1" applyFill="1" applyBorder="1" applyAlignment="1">
      <alignment horizontal="center" vertical="center" textRotation="90" wrapText="1"/>
    </xf>
    <xf numFmtId="164" fontId="5" fillId="0" borderId="1" xfId="0" applyNumberFormat="1" applyFont="1" applyFill="1" applyBorder="1" applyAlignment="1">
      <alignment vertical="top" wrapText="1"/>
    </xf>
    <xf numFmtId="164" fontId="6" fillId="0" borderId="1" xfId="0" applyNumberFormat="1" applyFont="1" applyFill="1" applyBorder="1" applyAlignment="1">
      <alignment vertical="top" wrapText="1"/>
    </xf>
    <xf numFmtId="0" fontId="0" fillId="0" borderId="0" xfId="0" applyFill="1" applyAlignment="1">
      <alignment vertical="top" wrapText="1"/>
    </xf>
    <xf numFmtId="164" fontId="6" fillId="0" borderId="1" xfId="0" applyNumberFormat="1" applyFont="1" applyFill="1" applyBorder="1"/>
    <xf numFmtId="164" fontId="5" fillId="0" borderId="1" xfId="0" applyNumberFormat="1" applyFont="1" applyFill="1" applyBorder="1"/>
    <xf numFmtId="0" fontId="5" fillId="0" borderId="0" xfId="0" applyFont="1" applyFill="1"/>
    <xf numFmtId="0" fontId="12" fillId="0" borderId="0" xfId="0" applyFont="1" applyFill="1" applyAlignment="1">
      <alignment vertical="center"/>
    </xf>
    <xf numFmtId="0" fontId="0" fillId="0" borderId="1" xfId="0" applyFill="1" applyBorder="1" applyAlignment="1">
      <alignment horizontal="center" vertical="center" wrapText="1"/>
    </xf>
    <xf numFmtId="0" fontId="0" fillId="0" borderId="1" xfId="0" applyFill="1" applyBorder="1" applyAlignment="1">
      <alignment horizontal="center" vertical="center"/>
    </xf>
    <xf numFmtId="0" fontId="8" fillId="0" borderId="1" xfId="0" applyFont="1" applyFill="1" applyBorder="1" applyAlignment="1">
      <alignment horizontal="center" vertical="center"/>
    </xf>
    <xf numFmtId="0" fontId="0" fillId="0" borderId="1" xfId="0" applyFill="1" applyBorder="1"/>
    <xf numFmtId="0" fontId="8" fillId="0" borderId="5" xfId="0" applyFont="1" applyFill="1" applyBorder="1" applyAlignment="1">
      <alignment horizontal="right"/>
    </xf>
    <xf numFmtId="0" fontId="8" fillId="0" borderId="3" xfId="0" applyFont="1" applyFill="1" applyBorder="1" applyAlignment="1">
      <alignment horizontal="right"/>
    </xf>
    <xf numFmtId="164" fontId="0" fillId="0" borderId="0" xfId="0" applyNumberFormat="1" applyFill="1"/>
    <xf numFmtId="1" fontId="5" fillId="0" borderId="1" xfId="0" applyNumberFormat="1" applyFont="1" applyBorder="1"/>
    <xf numFmtId="1" fontId="6" fillId="0" borderId="1" xfId="0" applyNumberFormat="1" applyFont="1" applyBorder="1"/>
    <xf numFmtId="1" fontId="19" fillId="0" borderId="1" xfId="0" applyNumberFormat="1" applyFont="1" applyFill="1" applyBorder="1" applyAlignment="1">
      <alignment horizontal="center" vertical="center"/>
    </xf>
    <xf numFmtId="1" fontId="0" fillId="0" borderId="0" xfId="0" applyNumberFormat="1" applyFill="1"/>
    <xf numFmtId="1" fontId="0" fillId="0" borderId="1" xfId="0" applyNumberFormat="1" applyFill="1" applyBorder="1" applyAlignment="1">
      <alignment horizontal="center" vertical="center"/>
    </xf>
    <xf numFmtId="1" fontId="0" fillId="0" borderId="1" xfId="0" applyNumberFormat="1" applyFill="1" applyBorder="1" applyAlignment="1">
      <alignment horizontal="center" wrapText="1"/>
    </xf>
    <xf numFmtId="1" fontId="0" fillId="0" borderId="1" xfId="0" applyNumberFormat="1" applyFill="1" applyBorder="1" applyAlignment="1">
      <alignment horizontal="center"/>
    </xf>
    <xf numFmtId="1" fontId="9" fillId="0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left"/>
    </xf>
    <xf numFmtId="0" fontId="1" fillId="0" borderId="5" xfId="0" applyFont="1" applyBorder="1" applyAlignment="1">
      <alignment horizontal="left"/>
    </xf>
    <xf numFmtId="0" fontId="1" fillId="0" borderId="3" xfId="0" applyFont="1" applyBorder="1" applyAlignment="1">
      <alignment horizontal="left"/>
    </xf>
    <xf numFmtId="0" fontId="1" fillId="0" borderId="3" xfId="0" applyFont="1" applyFill="1" applyBorder="1" applyAlignment="1">
      <alignment horizontal="left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1" fillId="0" borderId="5" xfId="0" applyFont="1" applyFill="1" applyBorder="1" applyAlignment="1">
      <alignment horizontal="left"/>
    </xf>
    <xf numFmtId="0" fontId="8" fillId="0" borderId="0" xfId="0" applyFont="1" applyFill="1" applyAlignment="1">
      <alignment horizontal="left"/>
    </xf>
    <xf numFmtId="0" fontId="12" fillId="0" borderId="0" xfId="0" applyFont="1" applyFill="1" applyAlignment="1">
      <alignment horizontal="center"/>
    </xf>
    <xf numFmtId="0" fontId="2" fillId="0" borderId="0" xfId="0" applyFont="1" applyFill="1" applyAlignment="1">
      <alignment horizontal="center"/>
    </xf>
    <xf numFmtId="0" fontId="7" fillId="0" borderId="2" xfId="0" applyFont="1" applyFill="1" applyBorder="1" applyAlignment="1">
      <alignment horizontal="left" vertical="center"/>
    </xf>
    <xf numFmtId="0" fontId="7" fillId="0" borderId="3" xfId="0" applyFont="1" applyFill="1" applyBorder="1" applyAlignment="1">
      <alignment horizontal="left" vertical="center"/>
    </xf>
    <xf numFmtId="0" fontId="7" fillId="0" borderId="4" xfId="0" applyFont="1" applyFill="1" applyBorder="1" applyAlignment="1">
      <alignment horizontal="left" vertical="center"/>
    </xf>
    <xf numFmtId="0" fontId="5" fillId="0" borderId="1" xfId="0" applyFont="1" applyFill="1" applyBorder="1" applyAlignment="1">
      <alignment horizontal="center" vertical="center" wrapText="1"/>
    </xf>
    <xf numFmtId="0" fontId="5" fillId="0" borderId="1" xfId="0" applyFont="1" applyFill="1" applyBorder="1" applyAlignment="1">
      <alignment horizontal="center"/>
    </xf>
    <xf numFmtId="16" fontId="5" fillId="0" borderId="2" xfId="0" applyNumberFormat="1" applyFont="1" applyFill="1" applyBorder="1" applyAlignment="1">
      <alignment vertical="top" wrapText="1"/>
    </xf>
    <xf numFmtId="0" fontId="5" fillId="0" borderId="3" xfId="0" applyFont="1" applyFill="1" applyBorder="1" applyAlignment="1">
      <alignment vertical="top" wrapText="1"/>
    </xf>
    <xf numFmtId="0" fontId="5" fillId="0" borderId="4" xfId="0" applyFont="1" applyFill="1" applyBorder="1" applyAlignment="1">
      <alignment vertical="top" wrapText="1"/>
    </xf>
    <xf numFmtId="0" fontId="5" fillId="0" borderId="2" xfId="0" applyFont="1" applyFill="1" applyBorder="1" applyAlignment="1">
      <alignment horizontal="left" vertical="top" wrapText="1"/>
    </xf>
    <xf numFmtId="0" fontId="5" fillId="0" borderId="3" xfId="0" applyFont="1" applyFill="1" applyBorder="1" applyAlignment="1">
      <alignment horizontal="left" vertical="top" wrapText="1"/>
    </xf>
    <xf numFmtId="0" fontId="5" fillId="0" borderId="4" xfId="0" applyFont="1" applyFill="1" applyBorder="1" applyAlignment="1">
      <alignment horizontal="left" vertical="top" wrapText="1"/>
    </xf>
    <xf numFmtId="0" fontId="5" fillId="0" borderId="2" xfId="0" applyFont="1" applyFill="1" applyBorder="1" applyAlignment="1">
      <alignment vertical="top" wrapText="1"/>
    </xf>
    <xf numFmtId="0" fontId="5" fillId="0" borderId="2" xfId="0" applyFont="1" applyFill="1" applyBorder="1" applyAlignment="1">
      <alignment horizontal="center" vertical="top" wrapText="1"/>
    </xf>
    <xf numFmtId="0" fontId="5" fillId="0" borderId="3" xfId="0" applyFont="1" applyFill="1" applyBorder="1" applyAlignment="1">
      <alignment horizontal="center" vertical="top" wrapText="1"/>
    </xf>
    <xf numFmtId="0" fontId="5" fillId="0" borderId="4" xfId="0" applyFont="1" applyFill="1" applyBorder="1" applyAlignment="1">
      <alignment horizontal="center" vertical="top" wrapText="1"/>
    </xf>
    <xf numFmtId="0" fontId="6" fillId="0" borderId="2" xfId="0" applyFont="1" applyBorder="1" applyAlignment="1">
      <alignment vertical="center"/>
    </xf>
    <xf numFmtId="0" fontId="6" fillId="0" borderId="3" xfId="0" applyFont="1" applyBorder="1" applyAlignment="1">
      <alignment vertical="center"/>
    </xf>
    <xf numFmtId="0" fontId="6" fillId="0" borderId="4" xfId="0" applyFont="1" applyBorder="1" applyAlignment="1">
      <alignment vertical="center"/>
    </xf>
    <xf numFmtId="0" fontId="5" fillId="0" borderId="2" xfId="0" applyFont="1" applyBorder="1" applyAlignment="1">
      <alignment vertical="top" wrapText="1"/>
    </xf>
    <xf numFmtId="0" fontId="5" fillId="0" borderId="3" xfId="0" applyFont="1" applyBorder="1" applyAlignment="1">
      <alignment vertical="top" wrapText="1"/>
    </xf>
    <xf numFmtId="0" fontId="5" fillId="0" borderId="4" xfId="0" applyFont="1" applyBorder="1" applyAlignment="1">
      <alignment vertical="top" wrapText="1"/>
    </xf>
    <xf numFmtId="0" fontId="5" fillId="0" borderId="2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top" wrapText="1"/>
    </xf>
    <xf numFmtId="0" fontId="5" fillId="0" borderId="4" xfId="0" applyFont="1" applyBorder="1" applyAlignment="1">
      <alignment horizontal="center" vertical="top" wrapText="1"/>
    </xf>
    <xf numFmtId="0" fontId="12" fillId="0" borderId="0" xfId="0" applyFont="1" applyAlignment="1">
      <alignment horizontal="center"/>
    </xf>
    <xf numFmtId="0" fontId="5" fillId="0" borderId="2" xfId="0" applyFont="1" applyBorder="1" applyAlignment="1">
      <alignment horizontal="left" vertical="top" wrapText="1"/>
    </xf>
    <xf numFmtId="0" fontId="5" fillId="0" borderId="3" xfId="0" applyFont="1" applyBorder="1" applyAlignment="1">
      <alignment horizontal="left" vertical="top" wrapText="1"/>
    </xf>
    <xf numFmtId="0" fontId="5" fillId="0" borderId="4" xfId="0" applyFont="1" applyBorder="1" applyAlignment="1">
      <alignment horizontal="left" vertical="top" wrapText="1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/>
    </xf>
    <xf numFmtId="164" fontId="16" fillId="0" borderId="0" xfId="0" applyNumberFormat="1" applyFont="1" applyAlignment="1">
      <alignment horizontal="center"/>
    </xf>
    <xf numFmtId="164" fontId="17" fillId="0" borderId="0" xfId="0" applyNumberFormat="1" applyFont="1" applyAlignment="1">
      <alignment horizontal="center"/>
    </xf>
    <xf numFmtId="164" fontId="6" fillId="0" borderId="2" xfId="0" applyNumberFormat="1" applyFont="1" applyBorder="1" applyAlignment="1">
      <alignment horizontal="center"/>
    </xf>
    <xf numFmtId="164" fontId="6" fillId="0" borderId="3" xfId="0" applyNumberFormat="1" applyFont="1" applyBorder="1" applyAlignment="1">
      <alignment horizontal="center"/>
    </xf>
    <xf numFmtId="164" fontId="6" fillId="0" borderId="4" xfId="0" applyNumberFormat="1" applyFont="1" applyBorder="1" applyAlignment="1">
      <alignment horizontal="center"/>
    </xf>
    <xf numFmtId="164" fontId="13" fillId="0" borderId="1" xfId="0" applyNumberFormat="1" applyFont="1" applyBorder="1" applyAlignment="1">
      <alignment horizontal="left" vertical="top"/>
    </xf>
    <xf numFmtId="164" fontId="13" fillId="0" borderId="1" xfId="0" applyNumberFormat="1" applyFont="1" applyBorder="1" applyAlignment="1">
      <alignment horizontal="center" vertical="top"/>
    </xf>
    <xf numFmtId="164" fontId="13" fillId="0" borderId="1" xfId="0" applyNumberFormat="1" applyFont="1" applyBorder="1" applyAlignment="1">
      <alignment horizontal="center"/>
    </xf>
    <xf numFmtId="164" fontId="6" fillId="0" borderId="1" xfId="0" applyNumberFormat="1" applyFont="1" applyBorder="1" applyAlignment="1">
      <alignment horizontal="center" wrapText="1"/>
    </xf>
    <xf numFmtId="164" fontId="6" fillId="0" borderId="1" xfId="0" applyNumberFormat="1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6" fillId="0" borderId="3" xfId="0" applyFont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6" fillId="0" borderId="1" xfId="0" applyFont="1" applyBorder="1" applyAlignment="1">
      <alignment horizontal="left"/>
    </xf>
    <xf numFmtId="0" fontId="6" fillId="0" borderId="1" xfId="0" applyFont="1" applyBorder="1" applyAlignment="1">
      <alignment horizontal="center" vertical="top" wrapText="1"/>
    </xf>
    <xf numFmtId="0" fontId="6" fillId="0" borderId="1" xfId="0" applyFont="1" applyBorder="1" applyAlignment="1">
      <alignment horizontal="center"/>
    </xf>
    <xf numFmtId="0" fontId="16" fillId="0" borderId="0" xfId="0" applyFont="1" applyAlignment="1">
      <alignment horizontal="center"/>
    </xf>
    <xf numFmtId="0" fontId="18" fillId="0" borderId="0" xfId="0" applyFont="1" applyAlignment="1">
      <alignment horizontal="center"/>
    </xf>
    <xf numFmtId="0" fontId="13" fillId="0" borderId="1" xfId="0" applyFont="1" applyBorder="1" applyAlignment="1">
      <alignment horizontal="center"/>
    </xf>
    <xf numFmtId="0" fontId="13" fillId="0" borderId="1" xfId="0" applyFont="1" applyBorder="1" applyAlignment="1">
      <alignment horizontal="center" vertical="top"/>
    </xf>
    <xf numFmtId="0" fontId="13" fillId="0" borderId="1" xfId="0" applyFont="1" applyBorder="1" applyAlignment="1">
      <alignment horizontal="left" vertical="top"/>
    </xf>
    <xf numFmtId="0" fontId="10" fillId="0" borderId="1" xfId="0" applyFont="1" applyBorder="1" applyAlignment="1">
      <alignment horizontal="center" vertical="center"/>
    </xf>
    <xf numFmtId="0" fontId="5" fillId="0" borderId="2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9" fillId="0" borderId="6" xfId="0" applyFont="1" applyBorder="1" applyAlignment="1">
      <alignment horizontal="center"/>
    </xf>
    <xf numFmtId="0" fontId="18" fillId="0" borderId="0" xfId="0" applyFont="1" applyAlignment="1">
      <alignment horizontal="center" vertical="top"/>
    </xf>
    <xf numFmtId="0" fontId="6" fillId="0" borderId="1" xfId="0" applyFont="1" applyBorder="1" applyAlignment="1">
      <alignment horizontal="left" vertical="center"/>
    </xf>
    <xf numFmtId="0" fontId="9" fillId="0" borderId="5" xfId="0" applyFont="1" applyBorder="1" applyAlignment="1">
      <alignment horizontal="center" vertical="top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" xfId="0" applyBorder="1" applyAlignment="1">
      <alignment horizontal="center"/>
    </xf>
    <xf numFmtId="0" fontId="11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 wrapText="1"/>
    </xf>
    <xf numFmtId="0" fontId="10" fillId="0" borderId="4" xfId="0" applyFont="1" applyBorder="1" applyAlignment="1">
      <alignment horizontal="center" vertical="center" wrapText="1"/>
    </xf>
    <xf numFmtId="0" fontId="10" fillId="0" borderId="9" xfId="0" applyFont="1" applyBorder="1" applyAlignment="1">
      <alignment horizontal="center" vertical="center" wrapText="1"/>
    </xf>
    <xf numFmtId="0" fontId="10" fillId="0" borderId="9" xfId="0" applyFont="1" applyBorder="1" applyAlignment="1">
      <alignment horizontal="center" vertical="center"/>
    </xf>
    <xf numFmtId="0" fontId="9" fillId="0" borderId="6" xfId="0" applyFont="1" applyBorder="1" applyAlignment="1">
      <alignment horizontal="center" vertical="center"/>
    </xf>
    <xf numFmtId="0" fontId="8" fillId="0" borderId="0" xfId="0" applyFont="1" applyAlignment="1">
      <alignment horizontal="center" vertical="top"/>
    </xf>
    <xf numFmtId="0" fontId="5" fillId="0" borderId="2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15" fillId="0" borderId="0" xfId="0" applyFont="1" applyFill="1" applyAlignment="1">
      <alignment horizontal="center"/>
    </xf>
    <xf numFmtId="0" fontId="8" fillId="0" borderId="5" xfId="0" applyFont="1" applyFill="1" applyBorder="1" applyAlignment="1">
      <alignment horizontal="left"/>
    </xf>
    <xf numFmtId="0" fontId="8" fillId="0" borderId="3" xfId="0" applyFont="1" applyFill="1" applyBorder="1" applyAlignment="1">
      <alignment horizontal="left"/>
    </xf>
    <xf numFmtId="0" fontId="0" fillId="0" borderId="1" xfId="0" applyFill="1" applyBorder="1" applyAlignment="1">
      <alignment horizontal="center"/>
    </xf>
    <xf numFmtId="0" fontId="0" fillId="0" borderId="6" xfId="0" applyFill="1" applyBorder="1" applyAlignment="1">
      <alignment horizontal="center"/>
    </xf>
    <xf numFmtId="0" fontId="8" fillId="0" borderId="0" xfId="0" applyFont="1" applyFill="1" applyAlignment="1">
      <alignment horizontal="left" vertical="center"/>
    </xf>
    <xf numFmtId="0" fontId="0" fillId="0" borderId="0" xfId="0" applyFill="1" applyAlignment="1">
      <alignment horizontal="left" vertical="center"/>
    </xf>
    <xf numFmtId="0" fontId="8" fillId="0" borderId="1" xfId="0" applyFont="1" applyFill="1" applyBorder="1" applyAlignment="1">
      <alignment horizontal="center" vertical="center"/>
    </xf>
    <xf numFmtId="0" fontId="8" fillId="0" borderId="1" xfId="0" applyFont="1" applyFill="1" applyBorder="1" applyAlignment="1">
      <alignment horizontal="center" wrapText="1"/>
    </xf>
    <xf numFmtId="0" fontId="8" fillId="0" borderId="1" xfId="0" applyFont="1" applyFill="1" applyBorder="1" applyAlignment="1">
      <alignment horizontal="center"/>
    </xf>
    <xf numFmtId="0" fontId="8" fillId="0" borderId="0" xfId="0" applyFont="1" applyFill="1" applyAlignment="1">
      <alignment horizontal="center" vertical="center" wrapText="1"/>
    </xf>
    <xf numFmtId="0" fontId="8" fillId="0" borderId="0" xfId="0" applyFont="1" applyFill="1" applyAlignment="1">
      <alignment horizontal="center" vertical="center"/>
    </xf>
    <xf numFmtId="0" fontId="8" fillId="0" borderId="1" xfId="0" applyFont="1" applyFill="1" applyBorder="1" applyAlignment="1">
      <alignment horizontal="left"/>
    </xf>
    <xf numFmtId="0" fontId="8" fillId="0" borderId="1" xfId="0" applyFont="1" applyFill="1" applyBorder="1" applyAlignment="1">
      <alignment horizontal="left" wrapText="1"/>
    </xf>
    <xf numFmtId="0" fontId="8" fillId="0" borderId="1" xfId="0" applyFont="1" applyFill="1" applyBorder="1" applyAlignment="1">
      <alignment horizontal="left" vertical="center"/>
    </xf>
    <xf numFmtId="0" fontId="2" fillId="0" borderId="0" xfId="0" applyFont="1" applyFill="1" applyAlignment="1">
      <alignment horizontal="center" vertical="center"/>
    </xf>
    <xf numFmtId="0" fontId="0" fillId="0" borderId="5" xfId="0" applyFill="1" applyBorder="1" applyAlignment="1">
      <alignment horizontal="center"/>
    </xf>
    <xf numFmtId="0" fontId="12" fillId="0" borderId="0" xfId="0" applyFont="1" applyFill="1" applyAlignment="1">
      <alignment horizontal="right" vertical="center"/>
    </xf>
    <xf numFmtId="0" fontId="5" fillId="0" borderId="0" xfId="0" applyFont="1" applyFill="1" applyAlignment="1">
      <alignment horizontal="justify" wrapText="1"/>
    </xf>
    <xf numFmtId="0" fontId="12" fillId="0" borderId="5" xfId="0" applyNumberFormat="1" applyFont="1" applyFill="1" applyBorder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J23"/>
  <sheetViews>
    <sheetView topLeftCell="A8" workbookViewId="0">
      <selection activeCell="K18" sqref="K18"/>
    </sheetView>
  </sheetViews>
  <sheetFormatPr defaultRowHeight="14.4" x14ac:dyDescent="0.3"/>
  <sheetData>
    <row r="1" spans="1:10" x14ac:dyDescent="0.3">
      <c r="A1" s="79" t="s">
        <v>0</v>
      </c>
      <c r="B1" s="79"/>
      <c r="C1" s="79"/>
      <c r="D1" s="79"/>
      <c r="E1" s="79"/>
      <c r="F1" s="79"/>
      <c r="G1" s="79"/>
      <c r="H1" s="79"/>
      <c r="I1" s="79"/>
      <c r="J1" s="79"/>
    </row>
    <row r="2" spans="1:10" ht="27" customHeight="1" x14ac:dyDescent="0.3">
      <c r="A2" s="79" t="s">
        <v>1</v>
      </c>
      <c r="B2" s="79"/>
      <c r="C2" s="79"/>
      <c r="D2" s="79"/>
      <c r="E2" s="79"/>
      <c r="F2" s="79"/>
      <c r="G2" s="79"/>
      <c r="H2" s="79"/>
      <c r="I2" s="79"/>
      <c r="J2" s="79"/>
    </row>
    <row r="3" spans="1:10" ht="27" customHeight="1" x14ac:dyDescent="0.3">
      <c r="A3" s="79" t="s">
        <v>2</v>
      </c>
      <c r="B3" s="79"/>
      <c r="C3" s="79"/>
      <c r="D3" s="79"/>
      <c r="E3" s="79"/>
      <c r="F3" s="79"/>
      <c r="G3" s="79"/>
      <c r="H3" s="79"/>
      <c r="I3" s="79"/>
      <c r="J3" s="79"/>
    </row>
    <row r="4" spans="1:10" ht="27" customHeight="1" x14ac:dyDescent="0.3">
      <c r="A4" s="80" t="s">
        <v>3</v>
      </c>
      <c r="B4" s="80"/>
      <c r="C4" s="80"/>
      <c r="D4" s="80"/>
      <c r="E4" s="80"/>
      <c r="F4" s="80"/>
      <c r="G4" s="80"/>
      <c r="H4" s="80"/>
      <c r="I4" s="80"/>
      <c r="J4" s="80"/>
    </row>
    <row r="5" spans="1:10" ht="30" customHeight="1" x14ac:dyDescent="0.3"/>
    <row r="6" spans="1:10" ht="30" customHeight="1" x14ac:dyDescent="0.3"/>
    <row r="7" spans="1:10" ht="30" customHeight="1" x14ac:dyDescent="0.3"/>
    <row r="8" spans="1:10" ht="30" customHeight="1" x14ac:dyDescent="0.3"/>
    <row r="9" spans="1:10" ht="30" customHeight="1" x14ac:dyDescent="0.3"/>
    <row r="10" spans="1:10" ht="39.6" customHeight="1" x14ac:dyDescent="0.4">
      <c r="A10" s="77" t="s">
        <v>4</v>
      </c>
      <c r="B10" s="77"/>
      <c r="C10" s="77"/>
      <c r="D10" s="77"/>
      <c r="E10" s="77"/>
      <c r="F10" s="77"/>
      <c r="G10" s="77"/>
      <c r="H10" s="77"/>
      <c r="I10" s="77"/>
      <c r="J10" s="77"/>
    </row>
    <row r="11" spans="1:10" ht="40.200000000000003" customHeight="1" x14ac:dyDescent="0.4">
      <c r="A11" s="77" t="s">
        <v>5</v>
      </c>
      <c r="B11" s="77"/>
      <c r="C11" s="77"/>
      <c r="D11" s="77"/>
      <c r="E11" s="77"/>
      <c r="F11" s="77"/>
      <c r="G11" s="77"/>
      <c r="H11" s="77"/>
      <c r="I11" s="77"/>
      <c r="J11" s="77"/>
    </row>
    <row r="12" spans="1:10" ht="40.200000000000003" customHeight="1" x14ac:dyDescent="0.4">
      <c r="A12" s="78" t="s">
        <v>6</v>
      </c>
      <c r="B12" s="78"/>
      <c r="C12" s="78"/>
      <c r="D12" s="78"/>
      <c r="E12" s="78"/>
      <c r="F12" s="78"/>
      <c r="G12" s="78"/>
      <c r="H12" s="78"/>
      <c r="I12" s="78"/>
      <c r="J12" s="78"/>
    </row>
    <row r="13" spans="1:10" ht="28.95" customHeight="1" x14ac:dyDescent="0.3"/>
    <row r="14" spans="1:10" ht="34.200000000000003" customHeight="1" x14ac:dyDescent="0.3"/>
    <row r="15" spans="1:10" ht="25.2" customHeight="1" x14ac:dyDescent="0.3">
      <c r="A15" s="73" t="s">
        <v>7</v>
      </c>
      <c r="B15" s="73"/>
      <c r="C15" s="73"/>
      <c r="D15" s="73"/>
      <c r="E15" s="73"/>
      <c r="F15" s="74" t="s">
        <v>16</v>
      </c>
      <c r="G15" s="74"/>
      <c r="H15" s="74"/>
      <c r="I15" s="74"/>
      <c r="J15" s="74"/>
    </row>
    <row r="16" spans="1:10" ht="25.2" customHeight="1" x14ac:dyDescent="0.3">
      <c r="A16" s="73" t="s">
        <v>8</v>
      </c>
      <c r="B16" s="73"/>
      <c r="C16" s="73"/>
      <c r="D16" s="73"/>
      <c r="E16" s="73"/>
      <c r="F16" s="75" t="s">
        <v>265</v>
      </c>
      <c r="G16" s="75"/>
      <c r="H16" s="75"/>
      <c r="I16" s="75"/>
      <c r="J16" s="75"/>
    </row>
    <row r="17" spans="1:10" ht="25.2" customHeight="1" x14ac:dyDescent="0.3">
      <c r="A17" s="73" t="s">
        <v>9</v>
      </c>
      <c r="B17" s="73"/>
      <c r="C17" s="73"/>
      <c r="D17" s="73"/>
      <c r="E17" s="73"/>
      <c r="F17" s="76" t="s">
        <v>266</v>
      </c>
      <c r="G17" s="76"/>
      <c r="H17" s="76"/>
      <c r="I17" s="76"/>
      <c r="J17" s="76"/>
    </row>
    <row r="18" spans="1:10" ht="25.2" customHeight="1" x14ac:dyDescent="0.3">
      <c r="A18" s="73" t="s">
        <v>10</v>
      </c>
      <c r="B18" s="73"/>
      <c r="C18" s="73"/>
      <c r="D18" s="73"/>
      <c r="E18" s="73"/>
      <c r="F18" s="76" t="s">
        <v>267</v>
      </c>
      <c r="G18" s="76"/>
      <c r="H18" s="76"/>
      <c r="I18" s="76"/>
      <c r="J18" s="76"/>
    </row>
    <row r="19" spans="1:10" ht="25.2" customHeight="1" x14ac:dyDescent="0.3">
      <c r="A19" s="73" t="s">
        <v>11</v>
      </c>
      <c r="B19" s="73"/>
      <c r="C19" s="73"/>
      <c r="D19" s="73"/>
      <c r="E19" s="73"/>
      <c r="F19" s="81" t="s">
        <v>268</v>
      </c>
      <c r="G19" s="81"/>
      <c r="H19" s="81"/>
      <c r="I19" s="81"/>
      <c r="J19" s="81"/>
    </row>
    <row r="20" spans="1:10" ht="25.2" customHeight="1" x14ac:dyDescent="0.3">
      <c r="A20" s="73" t="s">
        <v>12</v>
      </c>
      <c r="B20" s="73"/>
      <c r="C20" s="73"/>
      <c r="D20" s="73"/>
      <c r="E20" s="73"/>
      <c r="F20" s="76" t="s">
        <v>269</v>
      </c>
      <c r="G20" s="76"/>
      <c r="H20" s="76"/>
      <c r="I20" s="76"/>
      <c r="J20" s="76"/>
    </row>
    <row r="21" spans="1:10" ht="25.2" customHeight="1" x14ac:dyDescent="0.3">
      <c r="A21" s="73" t="s">
        <v>13</v>
      </c>
      <c r="B21" s="73"/>
      <c r="C21" s="73"/>
      <c r="D21" s="73"/>
      <c r="E21" s="73"/>
      <c r="F21" s="81">
        <v>1994</v>
      </c>
      <c r="G21" s="81"/>
      <c r="H21" s="81"/>
      <c r="I21" s="81"/>
      <c r="J21" s="81"/>
    </row>
    <row r="22" spans="1:10" ht="25.2" customHeight="1" x14ac:dyDescent="0.3">
      <c r="A22" s="73" t="s">
        <v>14</v>
      </c>
      <c r="B22" s="73"/>
      <c r="C22" s="73"/>
      <c r="D22" s="73"/>
      <c r="E22" s="73"/>
      <c r="F22" s="76" t="s">
        <v>270</v>
      </c>
      <c r="G22" s="76"/>
      <c r="H22" s="76"/>
      <c r="I22" s="76"/>
      <c r="J22" s="76"/>
    </row>
    <row r="23" spans="1:10" ht="25.2" customHeight="1" x14ac:dyDescent="0.3">
      <c r="A23" s="73" t="s">
        <v>15</v>
      </c>
      <c r="B23" s="73"/>
      <c r="C23" s="73"/>
      <c r="D23" s="73"/>
      <c r="E23" s="73"/>
      <c r="F23" s="81"/>
      <c r="G23" s="81"/>
      <c r="H23" s="81"/>
      <c r="I23" s="81"/>
      <c r="J23" s="81"/>
    </row>
  </sheetData>
  <mergeCells count="25">
    <mergeCell ref="F19:J19"/>
    <mergeCell ref="F21:J21"/>
    <mergeCell ref="F22:J22"/>
    <mergeCell ref="F23:J23"/>
    <mergeCell ref="A20:E20"/>
    <mergeCell ref="A21:E21"/>
    <mergeCell ref="A22:E22"/>
    <mergeCell ref="A23:E23"/>
    <mergeCell ref="F20:J20"/>
    <mergeCell ref="A19:E19"/>
    <mergeCell ref="A1:J1"/>
    <mergeCell ref="A2:J2"/>
    <mergeCell ref="A3:J3"/>
    <mergeCell ref="A4:J4"/>
    <mergeCell ref="A10:J10"/>
    <mergeCell ref="A11:J11"/>
    <mergeCell ref="A12:J12"/>
    <mergeCell ref="A15:E15"/>
    <mergeCell ref="A16:E16"/>
    <mergeCell ref="A17:E17"/>
    <mergeCell ref="A18:E18"/>
    <mergeCell ref="F15:J15"/>
    <mergeCell ref="F16:J16"/>
    <mergeCell ref="F17:J17"/>
    <mergeCell ref="F18:J18"/>
  </mergeCells>
  <pageMargins left="0.78740157480314965" right="0.78740157480314965" top="0.78740157480314965" bottom="0.70866141732283472" header="0.31496062992125984" footer="0.31496062992125984"/>
  <pageSetup paperSize="9" scale="93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22"/>
  <sheetViews>
    <sheetView topLeftCell="A7" zoomScale="80" zoomScaleNormal="80" workbookViewId="0">
      <selection activeCell="K13" sqref="K13"/>
    </sheetView>
  </sheetViews>
  <sheetFormatPr defaultColWidth="9.109375" defaultRowHeight="14.4" x14ac:dyDescent="0.3"/>
  <cols>
    <col min="1" max="2" width="9.109375" style="48"/>
    <col min="3" max="3" width="55" style="48" customWidth="1"/>
    <col min="4" max="20" width="5.6640625" style="48" customWidth="1"/>
    <col min="21" max="22" width="6.6640625" style="48" customWidth="1"/>
    <col min="23" max="16384" width="9.109375" style="48"/>
  </cols>
  <sheetData>
    <row r="1" spans="1:22" ht="15.6" x14ac:dyDescent="0.3">
      <c r="A1" s="82" t="s">
        <v>17</v>
      </c>
      <c r="B1" s="82"/>
      <c r="C1" s="82"/>
      <c r="D1" s="46"/>
      <c r="E1" s="46"/>
      <c r="F1" s="46"/>
      <c r="G1" s="46"/>
      <c r="H1" s="47" t="s">
        <v>39</v>
      </c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</row>
    <row r="2" spans="1:22" ht="19.2" customHeight="1" x14ac:dyDescent="0.3">
      <c r="A2" s="82" t="s">
        <v>263</v>
      </c>
      <c r="B2" s="82"/>
      <c r="C2" s="82"/>
      <c r="D2" s="84" t="s">
        <v>277</v>
      </c>
      <c r="E2" s="84"/>
      <c r="F2" s="84"/>
      <c r="G2" s="84"/>
      <c r="H2" s="84"/>
      <c r="I2" s="84"/>
      <c r="J2" s="84"/>
      <c r="K2" s="84"/>
      <c r="L2" s="84"/>
      <c r="M2" s="84"/>
      <c r="N2" s="84"/>
      <c r="O2" s="84"/>
      <c r="P2" s="84"/>
      <c r="Q2" s="84"/>
      <c r="R2" s="84"/>
      <c r="S2" s="84"/>
      <c r="T2" s="84"/>
      <c r="U2" s="84"/>
      <c r="V2" s="84"/>
    </row>
    <row r="3" spans="1:22" ht="19.2" customHeight="1" x14ac:dyDescent="0.3">
      <c r="A3" s="46"/>
      <c r="B3" s="46"/>
      <c r="C3" s="46"/>
      <c r="D3" s="46"/>
      <c r="E3" s="46"/>
      <c r="F3" s="46"/>
      <c r="G3" s="46"/>
      <c r="H3" s="46"/>
      <c r="I3" s="83" t="s">
        <v>40</v>
      </c>
      <c r="J3" s="83"/>
      <c r="K3" s="83"/>
      <c r="L3" s="83"/>
      <c r="M3" s="83"/>
      <c r="N3" s="83"/>
      <c r="O3" s="46"/>
      <c r="P3" s="46"/>
      <c r="Q3" s="46"/>
      <c r="R3" s="46"/>
      <c r="S3" s="46"/>
      <c r="T3" s="46"/>
      <c r="U3" s="46"/>
      <c r="V3" s="46"/>
    </row>
    <row r="4" spans="1:22" ht="18.600000000000001" customHeight="1" x14ac:dyDescent="0.3">
      <c r="A4" s="82" t="s">
        <v>278</v>
      </c>
      <c r="B4" s="82"/>
      <c r="C4" s="82"/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</row>
    <row r="5" spans="1:22" ht="15.6" x14ac:dyDescent="0.3">
      <c r="A5" s="46"/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</row>
    <row r="6" spans="1:22" ht="14.4" customHeight="1" x14ac:dyDescent="0.3">
      <c r="A6" s="88" t="s">
        <v>18</v>
      </c>
      <c r="B6" s="88"/>
      <c r="C6" s="88"/>
      <c r="D6" s="89" t="s">
        <v>19</v>
      </c>
      <c r="E6" s="89"/>
      <c r="F6" s="89"/>
      <c r="G6" s="89"/>
      <c r="H6" s="89"/>
      <c r="I6" s="89"/>
      <c r="J6" s="89"/>
      <c r="K6" s="89"/>
      <c r="L6" s="89"/>
      <c r="M6" s="89"/>
      <c r="N6" s="89"/>
      <c r="O6" s="89"/>
      <c r="P6" s="89"/>
      <c r="Q6" s="89"/>
      <c r="R6" s="89"/>
      <c r="S6" s="89"/>
      <c r="T6" s="89"/>
      <c r="U6" s="89"/>
      <c r="V6" s="89"/>
    </row>
    <row r="7" spans="1:22" ht="147" customHeight="1" x14ac:dyDescent="0.3">
      <c r="A7" s="88"/>
      <c r="B7" s="88"/>
      <c r="C7" s="88"/>
      <c r="D7" s="49" t="s">
        <v>20</v>
      </c>
      <c r="E7" s="49" t="s">
        <v>21</v>
      </c>
      <c r="F7" s="49" t="s">
        <v>115</v>
      </c>
      <c r="G7" s="49" t="s">
        <v>25</v>
      </c>
      <c r="H7" s="49" t="s">
        <v>26</v>
      </c>
      <c r="I7" s="49" t="s">
        <v>27</v>
      </c>
      <c r="J7" s="49" t="s">
        <v>28</v>
      </c>
      <c r="K7" s="49" t="s">
        <v>29</v>
      </c>
      <c r="L7" s="49" t="s">
        <v>30</v>
      </c>
      <c r="M7" s="49" t="s">
        <v>31</v>
      </c>
      <c r="N7" s="49" t="s">
        <v>32</v>
      </c>
      <c r="O7" s="49" t="s">
        <v>114</v>
      </c>
      <c r="P7" s="49" t="s">
        <v>112</v>
      </c>
      <c r="Q7" s="49" t="s">
        <v>33</v>
      </c>
      <c r="R7" s="49" t="s">
        <v>34</v>
      </c>
      <c r="S7" s="49" t="s">
        <v>35</v>
      </c>
      <c r="T7" s="49" t="s">
        <v>36</v>
      </c>
      <c r="U7" s="50" t="s">
        <v>37</v>
      </c>
      <c r="V7" s="50" t="s">
        <v>38</v>
      </c>
    </row>
    <row r="8" spans="1:22" s="53" customFormat="1" ht="27.6" customHeight="1" x14ac:dyDescent="0.3">
      <c r="A8" s="90" t="s">
        <v>271</v>
      </c>
      <c r="B8" s="91"/>
      <c r="C8" s="92"/>
      <c r="D8" s="51">
        <v>59</v>
      </c>
      <c r="E8" s="51">
        <v>16</v>
      </c>
      <c r="F8" s="51"/>
      <c r="G8" s="51">
        <v>32</v>
      </c>
      <c r="H8" s="51"/>
      <c r="I8" s="51">
        <v>1.6</v>
      </c>
      <c r="J8" s="51">
        <v>11.8</v>
      </c>
      <c r="K8" s="51"/>
      <c r="L8" s="51"/>
      <c r="M8" s="51"/>
      <c r="N8" s="51"/>
      <c r="O8" s="51"/>
      <c r="P8" s="51"/>
      <c r="Q8" s="51"/>
      <c r="R8" s="51"/>
      <c r="S8" s="51"/>
      <c r="T8" s="51"/>
      <c r="U8" s="52">
        <f t="shared" ref="U8:U11" si="0">SUM(E8:T8)</f>
        <v>61.400000000000006</v>
      </c>
      <c r="V8" s="51">
        <f t="shared" ref="V8:V11" si="1">U8</f>
        <v>61.400000000000006</v>
      </c>
    </row>
    <row r="9" spans="1:22" s="53" customFormat="1" ht="27.6" customHeight="1" x14ac:dyDescent="0.3">
      <c r="A9" s="96" t="s">
        <v>272</v>
      </c>
      <c r="B9" s="91"/>
      <c r="C9" s="92"/>
      <c r="D9" s="51">
        <v>108</v>
      </c>
      <c r="E9" s="51"/>
      <c r="F9" s="51"/>
      <c r="G9" s="51"/>
      <c r="H9" s="51"/>
      <c r="I9" s="51">
        <v>3.2</v>
      </c>
      <c r="J9" s="51">
        <v>22</v>
      </c>
      <c r="K9" s="51"/>
      <c r="L9" s="51"/>
      <c r="M9" s="51"/>
      <c r="N9" s="51"/>
      <c r="O9" s="51"/>
      <c r="P9" s="51"/>
      <c r="Q9" s="51"/>
      <c r="R9" s="51"/>
      <c r="S9" s="51"/>
      <c r="T9" s="51"/>
      <c r="U9" s="52">
        <f t="shared" si="0"/>
        <v>25.2</v>
      </c>
      <c r="V9" s="51">
        <f t="shared" si="1"/>
        <v>25.2</v>
      </c>
    </row>
    <row r="10" spans="1:22" s="53" customFormat="1" ht="27.6" customHeight="1" x14ac:dyDescent="0.3">
      <c r="A10" s="96" t="s">
        <v>273</v>
      </c>
      <c r="B10" s="91"/>
      <c r="C10" s="92"/>
      <c r="D10" s="51">
        <v>108</v>
      </c>
      <c r="E10" s="51">
        <v>16</v>
      </c>
      <c r="F10" s="51"/>
      <c r="G10" s="51">
        <v>32</v>
      </c>
      <c r="H10" s="51"/>
      <c r="I10" s="51">
        <v>3.2</v>
      </c>
      <c r="J10" s="51">
        <v>22</v>
      </c>
      <c r="K10" s="51"/>
      <c r="L10" s="51"/>
      <c r="M10" s="51"/>
      <c r="N10" s="51"/>
      <c r="O10" s="51"/>
      <c r="P10" s="51"/>
      <c r="Q10" s="51"/>
      <c r="R10" s="51"/>
      <c r="S10" s="51"/>
      <c r="T10" s="51"/>
      <c r="U10" s="52">
        <f t="shared" si="0"/>
        <v>73.2</v>
      </c>
      <c r="V10" s="51">
        <f t="shared" si="1"/>
        <v>73.2</v>
      </c>
    </row>
    <row r="11" spans="1:22" s="53" customFormat="1" ht="27.6" customHeight="1" x14ac:dyDescent="0.3">
      <c r="A11" s="96"/>
      <c r="B11" s="91"/>
      <c r="C11" s="92"/>
      <c r="D11" s="51"/>
      <c r="E11" s="51"/>
      <c r="F11" s="51"/>
      <c r="G11" s="51"/>
      <c r="H11" s="51"/>
      <c r="I11" s="51"/>
      <c r="J11" s="51"/>
      <c r="K11" s="51"/>
      <c r="L11" s="51"/>
      <c r="M11" s="51"/>
      <c r="N11" s="51"/>
      <c r="O11" s="51"/>
      <c r="P11" s="51"/>
      <c r="Q11" s="51"/>
      <c r="R11" s="51"/>
      <c r="S11" s="51"/>
      <c r="T11" s="51"/>
      <c r="U11" s="52">
        <f t="shared" si="0"/>
        <v>0</v>
      </c>
      <c r="V11" s="51">
        <f t="shared" si="1"/>
        <v>0</v>
      </c>
    </row>
    <row r="12" spans="1:22" s="53" customFormat="1" ht="27.6" customHeight="1" x14ac:dyDescent="0.3">
      <c r="A12" s="96"/>
      <c r="B12" s="91"/>
      <c r="C12" s="92"/>
      <c r="D12" s="51"/>
      <c r="E12" s="51"/>
      <c r="F12" s="51"/>
      <c r="G12" s="51"/>
      <c r="H12" s="51"/>
      <c r="I12" s="51"/>
      <c r="J12" s="51"/>
      <c r="K12" s="51"/>
      <c r="L12" s="51"/>
      <c r="M12" s="51"/>
      <c r="N12" s="51"/>
      <c r="O12" s="51"/>
      <c r="P12" s="51"/>
      <c r="Q12" s="51"/>
      <c r="R12" s="51"/>
      <c r="S12" s="51"/>
      <c r="T12" s="51"/>
      <c r="U12" s="52">
        <f t="shared" ref="U12:U19" si="2">SUM(E12:T12)</f>
        <v>0</v>
      </c>
      <c r="V12" s="51">
        <f t="shared" ref="V12:V19" si="3">U12</f>
        <v>0</v>
      </c>
    </row>
    <row r="13" spans="1:22" s="53" customFormat="1" ht="27.6" customHeight="1" x14ac:dyDescent="0.3">
      <c r="A13" s="96"/>
      <c r="B13" s="91"/>
      <c r="C13" s="92"/>
      <c r="D13" s="51"/>
      <c r="E13" s="51"/>
      <c r="F13" s="51"/>
      <c r="G13" s="51"/>
      <c r="H13" s="51"/>
      <c r="I13" s="51"/>
      <c r="J13" s="51"/>
      <c r="K13" s="51"/>
      <c r="L13" s="51"/>
      <c r="M13" s="51"/>
      <c r="N13" s="51"/>
      <c r="O13" s="51"/>
      <c r="P13" s="51"/>
      <c r="Q13" s="51"/>
      <c r="R13" s="51"/>
      <c r="S13" s="51"/>
      <c r="T13" s="51"/>
      <c r="U13" s="52">
        <f t="shared" si="2"/>
        <v>0</v>
      </c>
      <c r="V13" s="51">
        <f t="shared" si="3"/>
        <v>0</v>
      </c>
    </row>
    <row r="14" spans="1:22" s="53" customFormat="1" ht="27.6" customHeight="1" x14ac:dyDescent="0.3">
      <c r="A14" s="97"/>
      <c r="B14" s="98"/>
      <c r="C14" s="99"/>
      <c r="D14" s="51"/>
      <c r="E14" s="51"/>
      <c r="F14" s="51"/>
      <c r="G14" s="51"/>
      <c r="H14" s="51"/>
      <c r="I14" s="51"/>
      <c r="J14" s="51"/>
      <c r="K14" s="51"/>
      <c r="L14" s="51"/>
      <c r="M14" s="51"/>
      <c r="N14" s="51"/>
      <c r="O14" s="51"/>
      <c r="P14" s="51"/>
      <c r="Q14" s="51"/>
      <c r="R14" s="51"/>
      <c r="S14" s="51"/>
      <c r="T14" s="51"/>
      <c r="U14" s="52">
        <f t="shared" si="2"/>
        <v>0</v>
      </c>
      <c r="V14" s="51">
        <f t="shared" si="3"/>
        <v>0</v>
      </c>
    </row>
    <row r="15" spans="1:22" s="53" customFormat="1" ht="27.6" customHeight="1" x14ac:dyDescent="0.3">
      <c r="A15" s="97"/>
      <c r="B15" s="98"/>
      <c r="C15" s="99"/>
      <c r="D15" s="51"/>
      <c r="E15" s="51"/>
      <c r="F15" s="51"/>
      <c r="G15" s="51"/>
      <c r="H15" s="51"/>
      <c r="I15" s="51"/>
      <c r="J15" s="51"/>
      <c r="K15" s="51"/>
      <c r="L15" s="51"/>
      <c r="M15" s="51"/>
      <c r="N15" s="51"/>
      <c r="O15" s="51"/>
      <c r="P15" s="51"/>
      <c r="Q15" s="51"/>
      <c r="R15" s="51"/>
      <c r="S15" s="51"/>
      <c r="T15" s="51"/>
      <c r="U15" s="52">
        <f t="shared" si="2"/>
        <v>0</v>
      </c>
      <c r="V15" s="51">
        <f t="shared" si="3"/>
        <v>0</v>
      </c>
    </row>
    <row r="16" spans="1:22" s="53" customFormat="1" ht="27.6" customHeight="1" x14ac:dyDescent="0.3">
      <c r="A16" s="97"/>
      <c r="B16" s="98"/>
      <c r="C16" s="99"/>
      <c r="D16" s="51"/>
      <c r="E16" s="51"/>
      <c r="F16" s="51"/>
      <c r="G16" s="51"/>
      <c r="H16" s="51"/>
      <c r="I16" s="51"/>
      <c r="J16" s="51"/>
      <c r="K16" s="51"/>
      <c r="L16" s="51"/>
      <c r="M16" s="51"/>
      <c r="N16" s="51"/>
      <c r="O16" s="51"/>
      <c r="P16" s="51"/>
      <c r="Q16" s="51"/>
      <c r="R16" s="51"/>
      <c r="S16" s="51"/>
      <c r="T16" s="51"/>
      <c r="U16" s="52">
        <f t="shared" si="2"/>
        <v>0</v>
      </c>
      <c r="V16" s="51">
        <f t="shared" si="3"/>
        <v>0</v>
      </c>
    </row>
    <row r="17" spans="1:22" s="53" customFormat="1" ht="27.6" customHeight="1" x14ac:dyDescent="0.3">
      <c r="A17" s="97"/>
      <c r="B17" s="98"/>
      <c r="C17" s="99"/>
      <c r="D17" s="51"/>
      <c r="E17" s="51"/>
      <c r="F17" s="51"/>
      <c r="G17" s="51"/>
      <c r="H17" s="51"/>
      <c r="I17" s="51"/>
      <c r="J17" s="51"/>
      <c r="K17" s="51"/>
      <c r="L17" s="51"/>
      <c r="M17" s="51"/>
      <c r="N17" s="51"/>
      <c r="O17" s="51"/>
      <c r="P17" s="51"/>
      <c r="Q17" s="51"/>
      <c r="R17" s="51"/>
      <c r="S17" s="51"/>
      <c r="T17" s="51"/>
      <c r="U17" s="52">
        <f t="shared" si="2"/>
        <v>0</v>
      </c>
      <c r="V17" s="51">
        <f t="shared" si="3"/>
        <v>0</v>
      </c>
    </row>
    <row r="18" spans="1:22" s="53" customFormat="1" ht="28.95" customHeight="1" x14ac:dyDescent="0.3">
      <c r="A18" s="93"/>
      <c r="B18" s="94"/>
      <c r="C18" s="95"/>
      <c r="D18" s="51"/>
      <c r="E18" s="51"/>
      <c r="F18" s="51"/>
      <c r="G18" s="51"/>
      <c r="H18" s="51"/>
      <c r="I18" s="51"/>
      <c r="J18" s="51"/>
      <c r="K18" s="51"/>
      <c r="L18" s="51"/>
      <c r="M18" s="51"/>
      <c r="N18" s="51"/>
      <c r="O18" s="51"/>
      <c r="P18" s="51"/>
      <c r="Q18" s="51"/>
      <c r="R18" s="51"/>
      <c r="S18" s="51"/>
      <c r="T18" s="51"/>
      <c r="U18" s="52">
        <f t="shared" si="2"/>
        <v>0</v>
      </c>
      <c r="V18" s="51">
        <f t="shared" si="3"/>
        <v>0</v>
      </c>
    </row>
    <row r="19" spans="1:22" s="53" customFormat="1" ht="28.2" customHeight="1" x14ac:dyDescent="0.3">
      <c r="A19" s="93"/>
      <c r="B19" s="94"/>
      <c r="C19" s="95"/>
      <c r="D19" s="51"/>
      <c r="E19" s="51"/>
      <c r="F19" s="51"/>
      <c r="G19" s="51"/>
      <c r="H19" s="51"/>
      <c r="I19" s="51"/>
      <c r="J19" s="51"/>
      <c r="K19" s="51"/>
      <c r="L19" s="51"/>
      <c r="M19" s="51"/>
      <c r="N19" s="51"/>
      <c r="O19" s="51"/>
      <c r="P19" s="51"/>
      <c r="Q19" s="51"/>
      <c r="R19" s="51"/>
      <c r="S19" s="51"/>
      <c r="T19" s="51"/>
      <c r="U19" s="52">
        <f t="shared" si="2"/>
        <v>0</v>
      </c>
      <c r="V19" s="51">
        <f t="shared" si="3"/>
        <v>0</v>
      </c>
    </row>
    <row r="20" spans="1:22" x14ac:dyDescent="0.3">
      <c r="A20" s="85" t="s">
        <v>22</v>
      </c>
      <c r="B20" s="86"/>
      <c r="C20" s="87"/>
      <c r="D20" s="54"/>
      <c r="E20" s="54">
        <f>SUM(E8:E19)</f>
        <v>32</v>
      </c>
      <c r="F20" s="54">
        <f t="shared" ref="F20:U20" si="4">SUM(F8:F19)</f>
        <v>0</v>
      </c>
      <c r="G20" s="54">
        <f t="shared" si="4"/>
        <v>64</v>
      </c>
      <c r="H20" s="54">
        <f t="shared" si="4"/>
        <v>0</v>
      </c>
      <c r="I20" s="54">
        <f t="shared" si="4"/>
        <v>8</v>
      </c>
      <c r="J20" s="54">
        <f t="shared" si="4"/>
        <v>55.8</v>
      </c>
      <c r="K20" s="54">
        <f t="shared" si="4"/>
        <v>0</v>
      </c>
      <c r="L20" s="54">
        <f t="shared" si="4"/>
        <v>0</v>
      </c>
      <c r="M20" s="54">
        <f t="shared" si="4"/>
        <v>0</v>
      </c>
      <c r="N20" s="54">
        <f t="shared" si="4"/>
        <v>0</v>
      </c>
      <c r="O20" s="54">
        <f t="shared" si="4"/>
        <v>0</v>
      </c>
      <c r="P20" s="54">
        <f t="shared" si="4"/>
        <v>0</v>
      </c>
      <c r="Q20" s="54">
        <f t="shared" si="4"/>
        <v>0</v>
      </c>
      <c r="R20" s="54">
        <f t="shared" si="4"/>
        <v>0</v>
      </c>
      <c r="S20" s="54">
        <f t="shared" si="4"/>
        <v>0</v>
      </c>
      <c r="T20" s="54">
        <f t="shared" si="4"/>
        <v>0</v>
      </c>
      <c r="U20" s="54">
        <f t="shared" si="4"/>
        <v>159.80000000000001</v>
      </c>
      <c r="V20" s="55">
        <f t="shared" ref="V20" si="5">U20</f>
        <v>159.80000000000001</v>
      </c>
    </row>
    <row r="21" spans="1:22" x14ac:dyDescent="0.3">
      <c r="A21" s="85" t="s">
        <v>23</v>
      </c>
      <c r="B21" s="86"/>
      <c r="C21" s="87"/>
      <c r="D21" s="54"/>
      <c r="E21" s="54">
        <f>E20</f>
        <v>32</v>
      </c>
      <c r="F21" s="54">
        <f t="shared" ref="F21:U21" si="6">F20</f>
        <v>0</v>
      </c>
      <c r="G21" s="54">
        <f t="shared" si="6"/>
        <v>64</v>
      </c>
      <c r="H21" s="54">
        <f t="shared" si="6"/>
        <v>0</v>
      </c>
      <c r="I21" s="54">
        <f t="shared" si="6"/>
        <v>8</v>
      </c>
      <c r="J21" s="54">
        <f t="shared" si="6"/>
        <v>55.8</v>
      </c>
      <c r="K21" s="54">
        <f t="shared" si="6"/>
        <v>0</v>
      </c>
      <c r="L21" s="54">
        <f t="shared" si="6"/>
        <v>0</v>
      </c>
      <c r="M21" s="54">
        <f t="shared" si="6"/>
        <v>0</v>
      </c>
      <c r="N21" s="54">
        <f t="shared" si="6"/>
        <v>0</v>
      </c>
      <c r="O21" s="54">
        <f t="shared" si="6"/>
        <v>0</v>
      </c>
      <c r="P21" s="54">
        <f t="shared" si="6"/>
        <v>0</v>
      </c>
      <c r="Q21" s="54">
        <f t="shared" si="6"/>
        <v>0</v>
      </c>
      <c r="R21" s="54">
        <f t="shared" si="6"/>
        <v>0</v>
      </c>
      <c r="S21" s="54">
        <f t="shared" si="6"/>
        <v>0</v>
      </c>
      <c r="T21" s="54">
        <f t="shared" si="6"/>
        <v>0</v>
      </c>
      <c r="U21" s="54">
        <f t="shared" si="6"/>
        <v>159.80000000000001</v>
      </c>
      <c r="V21" s="54">
        <f t="shared" ref="V21" si="7">V20</f>
        <v>159.80000000000001</v>
      </c>
    </row>
    <row r="22" spans="1:22" x14ac:dyDescent="0.3">
      <c r="A22" s="56"/>
      <c r="B22" s="56"/>
      <c r="C22" s="56"/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</row>
  </sheetData>
  <mergeCells count="21">
    <mergeCell ref="A20:C20"/>
    <mergeCell ref="A21:C21"/>
    <mergeCell ref="A6:C7"/>
    <mergeCell ref="D6:V6"/>
    <mergeCell ref="A8:C8"/>
    <mergeCell ref="A18:C18"/>
    <mergeCell ref="A19:C19"/>
    <mergeCell ref="A9:C9"/>
    <mergeCell ref="A10:C10"/>
    <mergeCell ref="A11:C11"/>
    <mergeCell ref="A12:C12"/>
    <mergeCell ref="A13:C13"/>
    <mergeCell ref="A14:C14"/>
    <mergeCell ref="A15:C15"/>
    <mergeCell ref="A16:C16"/>
    <mergeCell ref="A17:C17"/>
    <mergeCell ref="A1:C1"/>
    <mergeCell ref="A2:C2"/>
    <mergeCell ref="A4:C4"/>
    <mergeCell ref="I3:N3"/>
    <mergeCell ref="D2:V2"/>
  </mergeCells>
  <pageMargins left="0.7" right="0.7" top="0.75" bottom="0.75" header="0.3" footer="0.3"/>
  <pageSetup paperSize="9" scale="71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V22"/>
  <sheetViews>
    <sheetView zoomScale="80" zoomScaleNormal="80" workbookViewId="0">
      <selection activeCell="C31" sqref="C31"/>
    </sheetView>
  </sheetViews>
  <sheetFormatPr defaultRowHeight="14.4" x14ac:dyDescent="0.3"/>
  <cols>
    <col min="3" max="3" width="52.5546875" customWidth="1"/>
    <col min="4" max="20" width="5.6640625" customWidth="1"/>
    <col min="21" max="22" width="6.6640625" customWidth="1"/>
  </cols>
  <sheetData>
    <row r="1" spans="1:22" ht="19.2" customHeight="1" x14ac:dyDescent="0.3">
      <c r="A1" s="109" t="s">
        <v>41</v>
      </c>
      <c r="B1" s="109"/>
      <c r="C1" s="109"/>
      <c r="D1" s="109"/>
      <c r="E1" s="109"/>
      <c r="F1" s="109"/>
      <c r="G1" s="109"/>
      <c r="H1" s="109"/>
      <c r="I1" s="109"/>
      <c r="J1" s="109"/>
      <c r="K1" s="109"/>
      <c r="L1" s="109"/>
      <c r="M1" s="109"/>
      <c r="N1" s="109"/>
      <c r="O1" s="109"/>
      <c r="P1" s="109"/>
      <c r="Q1" s="109"/>
      <c r="R1" s="109"/>
      <c r="S1" s="109"/>
      <c r="T1" s="109"/>
      <c r="U1" s="109"/>
      <c r="V1" s="109"/>
    </row>
    <row r="2" spans="1:22" ht="15.6" x14ac:dyDescent="0.3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</row>
    <row r="3" spans="1:22" ht="14.4" customHeight="1" x14ac:dyDescent="0.3">
      <c r="A3" s="113" t="s">
        <v>18</v>
      </c>
      <c r="B3" s="113"/>
      <c r="C3" s="113"/>
      <c r="D3" s="114" t="s">
        <v>19</v>
      </c>
      <c r="E3" s="114"/>
      <c r="F3" s="114"/>
      <c r="G3" s="114"/>
      <c r="H3" s="114"/>
      <c r="I3" s="114"/>
      <c r="J3" s="114"/>
      <c r="K3" s="114"/>
      <c r="L3" s="114"/>
      <c r="M3" s="114"/>
      <c r="N3" s="114"/>
      <c r="O3" s="114"/>
      <c r="P3" s="114"/>
      <c r="Q3" s="114"/>
      <c r="R3" s="114"/>
      <c r="S3" s="114"/>
      <c r="T3" s="114"/>
      <c r="U3" s="114"/>
      <c r="V3" s="114"/>
    </row>
    <row r="4" spans="1:22" ht="170.4" customHeight="1" x14ac:dyDescent="0.3">
      <c r="A4" s="113"/>
      <c r="B4" s="113"/>
      <c r="C4" s="113"/>
      <c r="D4" s="20" t="s">
        <v>20</v>
      </c>
      <c r="E4" s="20" t="s">
        <v>21</v>
      </c>
      <c r="F4" s="20" t="s">
        <v>24</v>
      </c>
      <c r="G4" s="20" t="s">
        <v>25</v>
      </c>
      <c r="H4" s="20" t="s">
        <v>26</v>
      </c>
      <c r="I4" s="20" t="s">
        <v>27</v>
      </c>
      <c r="J4" s="20" t="s">
        <v>28</v>
      </c>
      <c r="K4" s="20" t="s">
        <v>29</v>
      </c>
      <c r="L4" s="20" t="s">
        <v>30</v>
      </c>
      <c r="M4" s="20" t="s">
        <v>31</v>
      </c>
      <c r="N4" s="20" t="s">
        <v>32</v>
      </c>
      <c r="O4" s="20" t="s">
        <v>113</v>
      </c>
      <c r="P4" s="20" t="s">
        <v>112</v>
      </c>
      <c r="Q4" s="20" t="s">
        <v>33</v>
      </c>
      <c r="R4" s="20" t="s">
        <v>34</v>
      </c>
      <c r="S4" s="20" t="s">
        <v>35</v>
      </c>
      <c r="T4" s="20" t="s">
        <v>36</v>
      </c>
      <c r="U4" s="21" t="s">
        <v>37</v>
      </c>
      <c r="V4" s="21" t="s">
        <v>38</v>
      </c>
    </row>
    <row r="5" spans="1:22" s="9" customFormat="1" ht="27.6" customHeight="1" x14ac:dyDescent="0.3">
      <c r="A5" s="103" t="s">
        <v>274</v>
      </c>
      <c r="B5" s="104"/>
      <c r="C5" s="105"/>
      <c r="D5" s="7">
        <v>25</v>
      </c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>
        <v>2</v>
      </c>
      <c r="R5" s="7"/>
      <c r="S5" s="7"/>
      <c r="T5" s="7"/>
      <c r="U5" s="8">
        <f>SUM(E5:T5)</f>
        <v>2</v>
      </c>
      <c r="V5" s="7">
        <f>U5</f>
        <v>2</v>
      </c>
    </row>
    <row r="6" spans="1:22" s="9" customFormat="1" ht="27.6" customHeight="1" x14ac:dyDescent="0.3">
      <c r="A6" s="103" t="s">
        <v>275</v>
      </c>
      <c r="B6" s="104"/>
      <c r="C6" s="105"/>
      <c r="D6" s="7">
        <v>92</v>
      </c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>
        <v>2</v>
      </c>
      <c r="R6" s="7"/>
      <c r="S6" s="7"/>
      <c r="T6" s="7"/>
      <c r="U6" s="8">
        <f t="shared" ref="U6:U17" si="0">SUM(E6:T6)</f>
        <v>2</v>
      </c>
      <c r="V6" s="7">
        <f t="shared" ref="V6:V17" si="1">U6</f>
        <v>2</v>
      </c>
    </row>
    <row r="7" spans="1:22" s="9" customFormat="1" ht="27.6" customHeight="1" x14ac:dyDescent="0.3">
      <c r="A7" s="103" t="s">
        <v>271</v>
      </c>
      <c r="B7" s="104"/>
      <c r="C7" s="105"/>
      <c r="D7" s="7">
        <v>59</v>
      </c>
      <c r="E7" s="7">
        <v>16</v>
      </c>
      <c r="F7" s="7"/>
      <c r="G7" s="7">
        <v>64</v>
      </c>
      <c r="H7" s="7"/>
      <c r="I7" s="7">
        <v>5.6</v>
      </c>
      <c r="J7" s="7"/>
      <c r="K7" s="7">
        <v>17.7</v>
      </c>
      <c r="L7" s="7"/>
      <c r="M7" s="7"/>
      <c r="N7" s="7"/>
      <c r="O7" s="7"/>
      <c r="P7" s="7"/>
      <c r="Q7" s="7"/>
      <c r="R7" s="7"/>
      <c r="S7" s="7"/>
      <c r="T7" s="7"/>
      <c r="U7" s="8">
        <f t="shared" si="0"/>
        <v>103.3</v>
      </c>
      <c r="V7" s="7">
        <f t="shared" si="1"/>
        <v>103.3</v>
      </c>
    </row>
    <row r="8" spans="1:22" s="9" customFormat="1" ht="27.6" customHeight="1" x14ac:dyDescent="0.3">
      <c r="A8" s="103" t="s">
        <v>272</v>
      </c>
      <c r="B8" s="104"/>
      <c r="C8" s="105"/>
      <c r="D8" s="7">
        <v>108</v>
      </c>
      <c r="E8" s="7"/>
      <c r="F8" s="7"/>
      <c r="G8" s="7"/>
      <c r="H8" s="7"/>
      <c r="I8" s="7">
        <v>11.2</v>
      </c>
      <c r="J8" s="7"/>
      <c r="K8" s="7">
        <v>32.4</v>
      </c>
      <c r="L8" s="7"/>
      <c r="M8" s="7"/>
      <c r="N8" s="7"/>
      <c r="O8" s="7"/>
      <c r="P8" s="7"/>
      <c r="Q8" s="7"/>
      <c r="R8" s="7"/>
      <c r="S8" s="7"/>
      <c r="T8" s="7"/>
      <c r="U8" s="8">
        <f t="shared" si="0"/>
        <v>43.599999999999994</v>
      </c>
      <c r="V8" s="7">
        <f t="shared" si="1"/>
        <v>43.599999999999994</v>
      </c>
    </row>
    <row r="9" spans="1:22" s="9" customFormat="1" ht="27.6" customHeight="1" x14ac:dyDescent="0.3">
      <c r="A9" s="103" t="s">
        <v>273</v>
      </c>
      <c r="B9" s="104"/>
      <c r="C9" s="105"/>
      <c r="D9" s="7">
        <v>108</v>
      </c>
      <c r="E9" s="7">
        <v>16</v>
      </c>
      <c r="F9" s="7"/>
      <c r="G9" s="7"/>
      <c r="H9" s="7"/>
      <c r="I9" s="7">
        <v>11.2</v>
      </c>
      <c r="J9" s="7"/>
      <c r="K9" s="7">
        <v>32.4</v>
      </c>
      <c r="L9" s="7"/>
      <c r="M9" s="7"/>
      <c r="N9" s="7"/>
      <c r="O9" s="7"/>
      <c r="P9" s="7"/>
      <c r="Q9" s="7"/>
      <c r="R9" s="7"/>
      <c r="S9" s="7"/>
      <c r="T9" s="7"/>
      <c r="U9" s="8">
        <f t="shared" si="0"/>
        <v>59.599999999999994</v>
      </c>
      <c r="V9" s="7">
        <f t="shared" si="1"/>
        <v>59.599999999999994</v>
      </c>
    </row>
    <row r="10" spans="1:22" s="9" customFormat="1" ht="27.6" customHeight="1" x14ac:dyDescent="0.3">
      <c r="A10" s="103"/>
      <c r="B10" s="104"/>
      <c r="C10" s="105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8">
        <f t="shared" si="0"/>
        <v>0</v>
      </c>
      <c r="V10" s="7">
        <f t="shared" si="1"/>
        <v>0</v>
      </c>
    </row>
    <row r="11" spans="1:22" s="9" customFormat="1" ht="27.6" customHeight="1" x14ac:dyDescent="0.3">
      <c r="A11" s="103"/>
      <c r="B11" s="104"/>
      <c r="C11" s="105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8">
        <f t="shared" si="0"/>
        <v>0</v>
      </c>
      <c r="V11" s="7">
        <f t="shared" si="1"/>
        <v>0</v>
      </c>
    </row>
    <row r="12" spans="1:22" s="9" customFormat="1" ht="27.6" customHeight="1" x14ac:dyDescent="0.3">
      <c r="A12" s="103"/>
      <c r="B12" s="104"/>
      <c r="C12" s="105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8">
        <f t="shared" si="0"/>
        <v>0</v>
      </c>
      <c r="V12" s="7">
        <f t="shared" si="1"/>
        <v>0</v>
      </c>
    </row>
    <row r="13" spans="1:22" s="9" customFormat="1" ht="27.6" customHeight="1" x14ac:dyDescent="0.3">
      <c r="A13" s="103"/>
      <c r="B13" s="104"/>
      <c r="C13" s="105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8">
        <f t="shared" si="0"/>
        <v>0</v>
      </c>
      <c r="V13" s="7">
        <f t="shared" si="1"/>
        <v>0</v>
      </c>
    </row>
    <row r="14" spans="1:22" s="9" customFormat="1" ht="27.6" customHeight="1" x14ac:dyDescent="0.3">
      <c r="A14" s="106"/>
      <c r="B14" s="107"/>
      <c r="C14" s="108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8">
        <f t="shared" si="0"/>
        <v>0</v>
      </c>
      <c r="V14" s="7">
        <f t="shared" si="1"/>
        <v>0</v>
      </c>
    </row>
    <row r="15" spans="1:22" s="9" customFormat="1" ht="27.6" customHeight="1" x14ac:dyDescent="0.3">
      <c r="A15" s="106"/>
      <c r="B15" s="107"/>
      <c r="C15" s="108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8">
        <f t="shared" si="0"/>
        <v>0</v>
      </c>
      <c r="V15" s="7">
        <f t="shared" si="1"/>
        <v>0</v>
      </c>
    </row>
    <row r="16" spans="1:22" s="9" customFormat="1" ht="27.6" customHeight="1" x14ac:dyDescent="0.3">
      <c r="A16" s="110"/>
      <c r="B16" s="111"/>
      <c r="C16" s="112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8">
        <f t="shared" si="0"/>
        <v>0</v>
      </c>
      <c r="V16" s="7">
        <f t="shared" si="1"/>
        <v>0</v>
      </c>
    </row>
    <row r="17" spans="1:22" s="9" customFormat="1" ht="27.6" customHeight="1" x14ac:dyDescent="0.3">
      <c r="A17" s="110"/>
      <c r="B17" s="111"/>
      <c r="C17" s="112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8">
        <f t="shared" si="0"/>
        <v>0</v>
      </c>
      <c r="V17" s="7">
        <f t="shared" si="1"/>
        <v>0</v>
      </c>
    </row>
    <row r="18" spans="1:22" x14ac:dyDescent="0.3">
      <c r="A18" s="100" t="s">
        <v>22</v>
      </c>
      <c r="B18" s="101"/>
      <c r="C18" s="102"/>
      <c r="D18" s="5"/>
      <c r="E18" s="5">
        <f>SUM(E5:E17)</f>
        <v>32</v>
      </c>
      <c r="F18" s="5">
        <f t="shared" ref="F18:T18" si="2">SUM(F5:F17)</f>
        <v>0</v>
      </c>
      <c r="G18" s="5">
        <f t="shared" si="2"/>
        <v>64</v>
      </c>
      <c r="H18" s="5">
        <f t="shared" si="2"/>
        <v>0</v>
      </c>
      <c r="I18" s="5">
        <f t="shared" si="2"/>
        <v>27.999999999999996</v>
      </c>
      <c r="J18" s="5">
        <f t="shared" si="2"/>
        <v>0</v>
      </c>
      <c r="K18" s="5">
        <f t="shared" si="2"/>
        <v>82.5</v>
      </c>
      <c r="L18" s="5">
        <f t="shared" si="2"/>
        <v>0</v>
      </c>
      <c r="M18" s="5">
        <f t="shared" si="2"/>
        <v>0</v>
      </c>
      <c r="N18" s="5">
        <f t="shared" si="2"/>
        <v>0</v>
      </c>
      <c r="O18" s="5">
        <f t="shared" si="2"/>
        <v>0</v>
      </c>
      <c r="P18" s="5">
        <f t="shared" si="2"/>
        <v>0</v>
      </c>
      <c r="Q18" s="5">
        <f t="shared" si="2"/>
        <v>4</v>
      </c>
      <c r="R18" s="5">
        <f t="shared" si="2"/>
        <v>0</v>
      </c>
      <c r="S18" s="5">
        <f t="shared" si="2"/>
        <v>0</v>
      </c>
      <c r="T18" s="5">
        <f t="shared" si="2"/>
        <v>0</v>
      </c>
      <c r="U18" s="5">
        <f t="shared" ref="U18" si="3">SUM(E18:T18)</f>
        <v>210.5</v>
      </c>
      <c r="V18" s="6">
        <f t="shared" ref="V18" si="4">U18</f>
        <v>210.5</v>
      </c>
    </row>
    <row r="19" spans="1:22" x14ac:dyDescent="0.3">
      <c r="A19" s="100" t="s">
        <v>23</v>
      </c>
      <c r="B19" s="101"/>
      <c r="C19" s="102"/>
      <c r="D19" s="5"/>
      <c r="E19" s="5">
        <f>E18</f>
        <v>32</v>
      </c>
      <c r="F19" s="5">
        <f t="shared" ref="F19:U19" si="5">F18</f>
        <v>0</v>
      </c>
      <c r="G19" s="5">
        <f t="shared" si="5"/>
        <v>64</v>
      </c>
      <c r="H19" s="5">
        <f t="shared" si="5"/>
        <v>0</v>
      </c>
      <c r="I19" s="5">
        <f t="shared" si="5"/>
        <v>27.999999999999996</v>
      </c>
      <c r="J19" s="5">
        <f t="shared" si="5"/>
        <v>0</v>
      </c>
      <c r="K19" s="5">
        <f t="shared" si="5"/>
        <v>82.5</v>
      </c>
      <c r="L19" s="5">
        <f t="shared" si="5"/>
        <v>0</v>
      </c>
      <c r="M19" s="5">
        <f t="shared" si="5"/>
        <v>0</v>
      </c>
      <c r="N19" s="5">
        <f t="shared" si="5"/>
        <v>0</v>
      </c>
      <c r="O19" s="5">
        <f t="shared" si="5"/>
        <v>0</v>
      </c>
      <c r="P19" s="5">
        <f t="shared" si="5"/>
        <v>0</v>
      </c>
      <c r="Q19" s="5">
        <f t="shared" si="5"/>
        <v>4</v>
      </c>
      <c r="R19" s="5">
        <f t="shared" si="5"/>
        <v>0</v>
      </c>
      <c r="S19" s="5">
        <f t="shared" si="5"/>
        <v>0</v>
      </c>
      <c r="T19" s="5">
        <f t="shared" si="5"/>
        <v>0</v>
      </c>
      <c r="U19" s="5">
        <f t="shared" si="5"/>
        <v>210.5</v>
      </c>
      <c r="V19" s="5">
        <f>U19</f>
        <v>210.5</v>
      </c>
    </row>
    <row r="20" spans="1:22" x14ac:dyDescent="0.3">
      <c r="A20" s="100" t="s">
        <v>42</v>
      </c>
      <c r="B20" s="101"/>
      <c r="C20" s="102"/>
      <c r="D20" s="5"/>
      <c r="E20" s="5">
        <f>SUM(E18,'Осенний сем.'!E20)</f>
        <v>64</v>
      </c>
      <c r="F20" s="5">
        <f>SUM(F18,'Осенний сем.'!F20)</f>
        <v>0</v>
      </c>
      <c r="G20" s="5">
        <f>SUM(G18,'Осенний сем.'!G20)</f>
        <v>128</v>
      </c>
      <c r="H20" s="5">
        <f>SUM(H18,'Осенний сем.'!H20)</f>
        <v>0</v>
      </c>
      <c r="I20" s="5">
        <f>SUM(I18,'Осенний сем.'!I20)</f>
        <v>36</v>
      </c>
      <c r="J20" s="5">
        <f>SUM(J18,'Осенний сем.'!J20)</f>
        <v>55.8</v>
      </c>
      <c r="K20" s="5">
        <f>SUM(K18,'Осенний сем.'!K20)</f>
        <v>82.5</v>
      </c>
      <c r="L20" s="5">
        <f>SUM(L18,'Осенний сем.'!L20)</f>
        <v>0</v>
      </c>
      <c r="M20" s="5">
        <f>SUM(M18,'Осенний сем.'!M20)</f>
        <v>0</v>
      </c>
      <c r="N20" s="5">
        <f>SUM(N18,'Осенний сем.'!N20)</f>
        <v>0</v>
      </c>
      <c r="O20" s="5">
        <f>SUM(O18,'Осенний сем.'!O20)</f>
        <v>0</v>
      </c>
      <c r="P20" s="5">
        <f>SUM(P18,'Осенний сем.'!P20)</f>
        <v>0</v>
      </c>
      <c r="Q20" s="5">
        <f>SUM(Q18,'Осенний сем.'!Q20)</f>
        <v>4</v>
      </c>
      <c r="R20" s="5">
        <f>SUM(R18,'Осенний сем.'!R20)</f>
        <v>0</v>
      </c>
      <c r="S20" s="5">
        <f>SUM(S18,'Осенний сем.'!S20)</f>
        <v>0</v>
      </c>
      <c r="T20" s="5">
        <f>SUM(T18,'Осенний сем.'!T20)</f>
        <v>0</v>
      </c>
      <c r="U20" s="5">
        <f>SUM(U18,'Осенний сем.'!U20)</f>
        <v>370.3</v>
      </c>
      <c r="V20" s="5">
        <f>SUM(V18,'Осенний сем.'!V20)</f>
        <v>370.3</v>
      </c>
    </row>
    <row r="21" spans="1:22" x14ac:dyDescent="0.3">
      <c r="A21" s="100" t="s">
        <v>43</v>
      </c>
      <c r="B21" s="101"/>
      <c r="C21" s="102"/>
      <c r="D21" s="5"/>
      <c r="E21" s="5">
        <f>SUM(E19,'Осенний сем.'!E21)</f>
        <v>64</v>
      </c>
      <c r="F21" s="5">
        <f>SUM(F19,'Осенний сем.'!F21)</f>
        <v>0</v>
      </c>
      <c r="G21" s="5">
        <f>SUM(G19,'Осенний сем.'!G21)</f>
        <v>128</v>
      </c>
      <c r="H21" s="5">
        <f>SUM(H19,'Осенний сем.'!H21)</f>
        <v>0</v>
      </c>
      <c r="I21" s="5">
        <f>SUM(I19,'Осенний сем.'!I21)</f>
        <v>36</v>
      </c>
      <c r="J21" s="5">
        <f>SUM(J19,'Осенний сем.'!J21)</f>
        <v>55.8</v>
      </c>
      <c r="K21" s="5">
        <f>SUM(K19,'Осенний сем.'!K21)</f>
        <v>82.5</v>
      </c>
      <c r="L21" s="5">
        <f>SUM(L19,'Осенний сем.'!L21)</f>
        <v>0</v>
      </c>
      <c r="M21" s="5">
        <f>SUM(M19,'Осенний сем.'!M21)</f>
        <v>0</v>
      </c>
      <c r="N21" s="5">
        <f>SUM(N19,'Осенний сем.'!N21)</f>
        <v>0</v>
      </c>
      <c r="O21" s="5">
        <f>SUM(O19,'Осенний сем.'!O21)</f>
        <v>0</v>
      </c>
      <c r="P21" s="5">
        <f>SUM(P19,'Осенний сем.'!P21)</f>
        <v>0</v>
      </c>
      <c r="Q21" s="5">
        <f>SUM(Q19,'Осенний сем.'!Q21)</f>
        <v>4</v>
      </c>
      <c r="R21" s="5">
        <f>SUM(R19,'Осенний сем.'!R21)</f>
        <v>0</v>
      </c>
      <c r="S21" s="5">
        <f>SUM(S19,'Осенний сем.'!S21)</f>
        <v>0</v>
      </c>
      <c r="T21" s="5">
        <f>SUM(T19,'Осенний сем.'!T21)</f>
        <v>0</v>
      </c>
      <c r="U21" s="5">
        <f>SUM(U19,'Осенний сем.'!U21)</f>
        <v>370.3</v>
      </c>
      <c r="V21" s="5">
        <f>SUM(V19,'Осенний сем.'!V21)</f>
        <v>370.3</v>
      </c>
    </row>
    <row r="22" spans="1:22" x14ac:dyDescent="0.3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</sheetData>
  <mergeCells count="20">
    <mergeCell ref="A1:V1"/>
    <mergeCell ref="A5:C5"/>
    <mergeCell ref="A16:C16"/>
    <mergeCell ref="A17:C17"/>
    <mergeCell ref="A18:C18"/>
    <mergeCell ref="A9:C9"/>
    <mergeCell ref="A11:C11"/>
    <mergeCell ref="A12:C12"/>
    <mergeCell ref="A10:C10"/>
    <mergeCell ref="A7:C7"/>
    <mergeCell ref="A8:C8"/>
    <mergeCell ref="A3:C4"/>
    <mergeCell ref="D3:V3"/>
    <mergeCell ref="A6:C6"/>
    <mergeCell ref="A21:C21"/>
    <mergeCell ref="A19:C19"/>
    <mergeCell ref="A20:C20"/>
    <mergeCell ref="A13:C13"/>
    <mergeCell ref="A14:C14"/>
    <mergeCell ref="A15:C15"/>
  </mergeCells>
  <pageMargins left="0.7" right="0.7" top="0.75" bottom="0.75" header="0.3" footer="0.3"/>
  <pageSetup paperSize="9" scale="71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67"/>
  <sheetViews>
    <sheetView workbookViewId="0">
      <selection activeCell="D8" sqref="D8:G24"/>
    </sheetView>
  </sheetViews>
  <sheetFormatPr defaultRowHeight="14.4" x14ac:dyDescent="0.3"/>
  <cols>
    <col min="1" max="1" width="10.109375" bestFit="1" customWidth="1"/>
    <col min="2" max="2" width="43.44140625" customWidth="1"/>
    <col min="3" max="3" width="24.88671875" customWidth="1"/>
  </cols>
  <sheetData>
    <row r="1" spans="1:8" ht="17.399999999999999" x14ac:dyDescent="0.3">
      <c r="A1" s="115" t="s">
        <v>44</v>
      </c>
      <c r="B1" s="115"/>
      <c r="C1" s="115"/>
      <c r="D1" s="115"/>
      <c r="E1" s="115"/>
      <c r="F1" s="115"/>
      <c r="G1" s="115"/>
    </row>
    <row r="2" spans="1:8" ht="15.6" x14ac:dyDescent="0.3">
      <c r="A2" s="116" t="s">
        <v>45</v>
      </c>
      <c r="B2" s="116"/>
      <c r="C2" s="116"/>
      <c r="D2" s="116"/>
      <c r="E2" s="116"/>
      <c r="F2" s="116"/>
      <c r="G2" s="116"/>
    </row>
    <row r="3" spans="1:8" x14ac:dyDescent="0.3">
      <c r="A3" s="122"/>
      <c r="B3" s="121" t="s">
        <v>51</v>
      </c>
      <c r="C3" s="121" t="s">
        <v>52</v>
      </c>
      <c r="D3" s="120" t="s">
        <v>46</v>
      </c>
      <c r="E3" s="120"/>
      <c r="F3" s="120" t="s">
        <v>47</v>
      </c>
      <c r="G3" s="120"/>
    </row>
    <row r="4" spans="1:8" x14ac:dyDescent="0.3">
      <c r="A4" s="122"/>
      <c r="B4" s="121"/>
      <c r="C4" s="121"/>
      <c r="D4" s="120" t="s">
        <v>48</v>
      </c>
      <c r="E4" s="120"/>
      <c r="F4" s="120" t="s">
        <v>48</v>
      </c>
      <c r="G4" s="120"/>
    </row>
    <row r="5" spans="1:8" ht="20.399999999999999" x14ac:dyDescent="0.3">
      <c r="A5" s="122"/>
      <c r="B5" s="121"/>
      <c r="C5" s="121"/>
      <c r="D5" s="34" t="s">
        <v>49</v>
      </c>
      <c r="E5" s="35" t="s">
        <v>50</v>
      </c>
      <c r="F5" s="34" t="s">
        <v>49</v>
      </c>
      <c r="G5" s="35" t="s">
        <v>50</v>
      </c>
    </row>
    <row r="6" spans="1:8" x14ac:dyDescent="0.3">
      <c r="A6" s="36">
        <v>1</v>
      </c>
      <c r="B6" s="36">
        <v>2</v>
      </c>
      <c r="C6" s="36">
        <v>3</v>
      </c>
      <c r="D6" s="36">
        <v>4</v>
      </c>
      <c r="E6" s="36">
        <v>5</v>
      </c>
      <c r="F6" s="36">
        <v>6</v>
      </c>
      <c r="G6" s="36">
        <v>7</v>
      </c>
    </row>
    <row r="7" spans="1:8" ht="25.95" customHeight="1" x14ac:dyDescent="0.3">
      <c r="A7" s="123" t="s">
        <v>53</v>
      </c>
      <c r="B7" s="123"/>
      <c r="C7" s="123"/>
      <c r="D7" s="123"/>
      <c r="E7" s="123"/>
      <c r="F7" s="123"/>
      <c r="G7" s="123"/>
    </row>
    <row r="8" spans="1:8" ht="57" customHeight="1" x14ac:dyDescent="0.3">
      <c r="A8" s="37" t="s">
        <v>54</v>
      </c>
      <c r="B8" s="40" t="s">
        <v>116</v>
      </c>
      <c r="C8" s="6" t="s">
        <v>117</v>
      </c>
      <c r="D8" s="65"/>
      <c r="E8" s="65">
        <f>D8</f>
        <v>0</v>
      </c>
      <c r="F8" s="65"/>
      <c r="G8" s="65">
        <f>F8</f>
        <v>0</v>
      </c>
    </row>
    <row r="9" spans="1:8" x14ac:dyDescent="0.3">
      <c r="A9" s="37" t="s">
        <v>55</v>
      </c>
      <c r="B9" s="38" t="s">
        <v>84</v>
      </c>
      <c r="C9" s="38" t="s">
        <v>118</v>
      </c>
      <c r="D9" s="65"/>
      <c r="E9" s="65"/>
      <c r="F9" s="65"/>
      <c r="G9" s="65"/>
      <c r="H9" s="1"/>
    </row>
    <row r="10" spans="1:8" ht="26.4" x14ac:dyDescent="0.3">
      <c r="A10" s="37" t="s">
        <v>56</v>
      </c>
      <c r="B10" s="38" t="s">
        <v>85</v>
      </c>
      <c r="C10" s="38" t="s">
        <v>119</v>
      </c>
      <c r="D10" s="65"/>
      <c r="E10" s="65"/>
      <c r="F10" s="65"/>
      <c r="G10" s="65"/>
      <c r="H10" s="1"/>
    </row>
    <row r="11" spans="1:8" ht="39.6" x14ac:dyDescent="0.3">
      <c r="A11" s="37" t="s">
        <v>57</v>
      </c>
      <c r="B11" s="38" t="s">
        <v>121</v>
      </c>
      <c r="C11" s="38" t="s">
        <v>120</v>
      </c>
      <c r="D11" s="65"/>
      <c r="E11" s="65"/>
      <c r="F11" s="65"/>
      <c r="G11" s="65"/>
      <c r="H11" s="1"/>
    </row>
    <row r="12" spans="1:8" x14ac:dyDescent="0.3">
      <c r="A12" s="37" t="s">
        <v>58</v>
      </c>
      <c r="B12" s="38" t="s">
        <v>86</v>
      </c>
      <c r="C12" s="38" t="s">
        <v>123</v>
      </c>
      <c r="D12" s="65"/>
      <c r="E12" s="65"/>
      <c r="F12" s="65"/>
      <c r="G12" s="65"/>
      <c r="H12" s="1"/>
    </row>
    <row r="13" spans="1:8" x14ac:dyDescent="0.3">
      <c r="A13" s="37" t="s">
        <v>59</v>
      </c>
      <c r="B13" s="39" t="s">
        <v>124</v>
      </c>
      <c r="C13" s="38" t="s">
        <v>125</v>
      </c>
      <c r="D13" s="65"/>
      <c r="E13" s="65"/>
      <c r="F13" s="65"/>
      <c r="G13" s="65"/>
      <c r="H13" s="1"/>
    </row>
    <row r="14" spans="1:8" x14ac:dyDescent="0.3">
      <c r="A14" s="37" t="s">
        <v>60</v>
      </c>
      <c r="B14" s="38" t="s">
        <v>122</v>
      </c>
      <c r="C14" s="38" t="s">
        <v>126</v>
      </c>
      <c r="D14" s="65"/>
      <c r="E14" s="65"/>
      <c r="F14" s="65"/>
      <c r="G14" s="65"/>
      <c r="H14" s="1"/>
    </row>
    <row r="15" spans="1:8" ht="26.4" x14ac:dyDescent="0.3">
      <c r="A15" s="37" t="s">
        <v>61</v>
      </c>
      <c r="B15" s="38" t="s">
        <v>127</v>
      </c>
      <c r="C15" s="38" t="s">
        <v>128</v>
      </c>
      <c r="D15" s="65"/>
      <c r="E15" s="65"/>
      <c r="F15" s="65"/>
      <c r="G15" s="65"/>
      <c r="H15" s="1"/>
    </row>
    <row r="16" spans="1:8" ht="13.95" customHeight="1" x14ac:dyDescent="0.3">
      <c r="A16" s="37" t="s">
        <v>141</v>
      </c>
      <c r="B16" s="38" t="s">
        <v>88</v>
      </c>
      <c r="C16" s="38" t="s">
        <v>89</v>
      </c>
      <c r="D16" s="65"/>
      <c r="E16" s="65"/>
      <c r="F16" s="65"/>
      <c r="G16" s="65"/>
      <c r="H16" s="1"/>
    </row>
    <row r="17" spans="1:8" ht="52.8" x14ac:dyDescent="0.3">
      <c r="A17" s="37" t="s">
        <v>142</v>
      </c>
      <c r="B17" s="38" t="s">
        <v>87</v>
      </c>
      <c r="C17" s="38" t="s">
        <v>129</v>
      </c>
      <c r="D17" s="65"/>
      <c r="E17" s="65">
        <f t="shared" ref="E17:E23" si="0">D17</f>
        <v>0</v>
      </c>
      <c r="F17" s="65"/>
      <c r="G17" s="65">
        <f t="shared" ref="G17:G23" si="1">F17</f>
        <v>0</v>
      </c>
      <c r="H17" s="1"/>
    </row>
    <row r="18" spans="1:8" ht="26.4" x14ac:dyDescent="0.3">
      <c r="A18" s="37" t="s">
        <v>143</v>
      </c>
      <c r="B18" s="38" t="s">
        <v>130</v>
      </c>
      <c r="C18" s="38" t="s">
        <v>131</v>
      </c>
      <c r="D18" s="65"/>
      <c r="E18" s="65">
        <f t="shared" si="0"/>
        <v>0</v>
      </c>
      <c r="F18" s="65"/>
      <c r="G18" s="65">
        <f t="shared" si="1"/>
        <v>0</v>
      </c>
      <c r="H18" s="1"/>
    </row>
    <row r="19" spans="1:8" ht="26.4" x14ac:dyDescent="0.3">
      <c r="A19" s="37" t="s">
        <v>144</v>
      </c>
      <c r="B19" s="38" t="s">
        <v>132</v>
      </c>
      <c r="C19" s="38" t="s">
        <v>133</v>
      </c>
      <c r="D19" s="65"/>
      <c r="E19" s="65">
        <f t="shared" si="0"/>
        <v>0</v>
      </c>
      <c r="F19" s="65"/>
      <c r="G19" s="65">
        <f t="shared" si="1"/>
        <v>0</v>
      </c>
      <c r="H19" s="1"/>
    </row>
    <row r="20" spans="1:8" ht="26.4" x14ac:dyDescent="0.3">
      <c r="A20" s="37" t="s">
        <v>145</v>
      </c>
      <c r="B20" s="38" t="s">
        <v>134</v>
      </c>
      <c r="C20" s="38" t="s">
        <v>135</v>
      </c>
      <c r="D20" s="65"/>
      <c r="E20" s="65">
        <f t="shared" si="0"/>
        <v>0</v>
      </c>
      <c r="F20" s="65"/>
      <c r="G20" s="65">
        <f t="shared" si="1"/>
        <v>0</v>
      </c>
      <c r="H20" s="1"/>
    </row>
    <row r="21" spans="1:8" x14ac:dyDescent="0.3">
      <c r="A21" s="37" t="s">
        <v>146</v>
      </c>
      <c r="B21" s="38" t="s">
        <v>90</v>
      </c>
      <c r="C21" s="38" t="s">
        <v>136</v>
      </c>
      <c r="D21" s="65"/>
      <c r="E21" s="65">
        <f t="shared" si="0"/>
        <v>0</v>
      </c>
      <c r="F21" s="65"/>
      <c r="G21" s="65">
        <f t="shared" si="1"/>
        <v>0</v>
      </c>
      <c r="H21" s="1"/>
    </row>
    <row r="22" spans="1:8" ht="55.2" customHeight="1" x14ac:dyDescent="0.3">
      <c r="A22" s="37" t="s">
        <v>147</v>
      </c>
      <c r="B22" s="38" t="s">
        <v>137</v>
      </c>
      <c r="C22" s="38" t="s">
        <v>138</v>
      </c>
      <c r="D22" s="65"/>
      <c r="E22" s="65">
        <f t="shared" si="0"/>
        <v>0</v>
      </c>
      <c r="F22" s="65"/>
      <c r="G22" s="65">
        <f t="shared" si="1"/>
        <v>0</v>
      </c>
      <c r="H22" s="1"/>
    </row>
    <row r="23" spans="1:8" ht="26.4" x14ac:dyDescent="0.3">
      <c r="A23" s="37" t="s">
        <v>148</v>
      </c>
      <c r="B23" s="38" t="s">
        <v>140</v>
      </c>
      <c r="C23" s="38" t="s">
        <v>139</v>
      </c>
      <c r="D23" s="65"/>
      <c r="E23" s="65">
        <f t="shared" si="0"/>
        <v>0</v>
      </c>
      <c r="F23" s="65"/>
      <c r="G23" s="65">
        <f t="shared" si="1"/>
        <v>0</v>
      </c>
      <c r="H23" s="1"/>
    </row>
    <row r="24" spans="1:8" x14ac:dyDescent="0.3">
      <c r="A24" s="6"/>
      <c r="B24" s="5" t="s">
        <v>62</v>
      </c>
      <c r="C24" s="6"/>
      <c r="D24" s="66">
        <f>SUM(D9:D23)</f>
        <v>0</v>
      </c>
      <c r="E24" s="66">
        <f>SUM(E9:E23)</f>
        <v>0</v>
      </c>
      <c r="F24" s="66">
        <f>SUM(F9:F23)</f>
        <v>0</v>
      </c>
      <c r="G24" s="66">
        <f>SUM(G9:G23)</f>
        <v>0</v>
      </c>
      <c r="H24" s="1"/>
    </row>
    <row r="25" spans="1:8" x14ac:dyDescent="0.3">
      <c r="A25" s="124" t="s">
        <v>63</v>
      </c>
      <c r="B25" s="124"/>
      <c r="C25" s="124"/>
      <c r="D25" s="124"/>
      <c r="E25" s="124"/>
      <c r="F25" s="124"/>
      <c r="G25" s="124"/>
      <c r="H25" s="1"/>
    </row>
    <row r="26" spans="1:8" ht="79.8" x14ac:dyDescent="0.3">
      <c r="A26" s="37" t="s">
        <v>153</v>
      </c>
      <c r="B26" s="40" t="s">
        <v>151</v>
      </c>
      <c r="C26" s="41" t="s">
        <v>152</v>
      </c>
      <c r="D26" s="6"/>
      <c r="E26" s="6">
        <f>D26</f>
        <v>0</v>
      </c>
      <c r="F26" s="6"/>
      <c r="G26" s="6">
        <f>F26</f>
        <v>0</v>
      </c>
      <c r="H26" s="1"/>
    </row>
    <row r="27" spans="1:8" ht="26.4" x14ac:dyDescent="0.3">
      <c r="A27" s="37" t="s">
        <v>154</v>
      </c>
      <c r="B27" s="40" t="s">
        <v>149</v>
      </c>
      <c r="C27" s="41" t="s">
        <v>150</v>
      </c>
      <c r="D27" s="6"/>
      <c r="E27" s="6">
        <f>D27</f>
        <v>0</v>
      </c>
      <c r="F27" s="6"/>
      <c r="G27" s="6">
        <f>F27</f>
        <v>0</v>
      </c>
      <c r="H27" s="1"/>
    </row>
    <row r="28" spans="1:8" x14ac:dyDescent="0.3">
      <c r="A28" s="6"/>
      <c r="B28" s="5" t="s">
        <v>62</v>
      </c>
      <c r="C28" s="6"/>
      <c r="D28" s="5">
        <f>SUM(D26:D27)</f>
        <v>0</v>
      </c>
      <c r="E28" s="5">
        <f>SUM(E26:E27)</f>
        <v>0</v>
      </c>
      <c r="F28" s="5">
        <f>SUM(F26:F27)</f>
        <v>0</v>
      </c>
      <c r="G28" s="5">
        <f>SUM(G26:G27)</f>
        <v>0</v>
      </c>
      <c r="H28" s="1"/>
    </row>
    <row r="29" spans="1:8" x14ac:dyDescent="0.3">
      <c r="A29" s="117" t="s">
        <v>91</v>
      </c>
      <c r="B29" s="118"/>
      <c r="C29" s="118"/>
      <c r="D29" s="118"/>
      <c r="E29" s="118"/>
      <c r="F29" s="118"/>
      <c r="G29" s="119"/>
      <c r="H29" s="1"/>
    </row>
    <row r="30" spans="1:8" ht="27" x14ac:dyDescent="0.3">
      <c r="A30" s="37" t="s">
        <v>164</v>
      </c>
      <c r="B30" s="40" t="s">
        <v>155</v>
      </c>
      <c r="C30" s="40" t="s">
        <v>158</v>
      </c>
      <c r="D30" s="6"/>
      <c r="E30" s="6">
        <f>D30</f>
        <v>0</v>
      </c>
      <c r="F30" s="6"/>
      <c r="G30" s="6">
        <f>F30</f>
        <v>0</v>
      </c>
      <c r="H30" s="1"/>
    </row>
    <row r="31" spans="1:8" ht="27" x14ac:dyDescent="0.3">
      <c r="A31" s="37" t="s">
        <v>166</v>
      </c>
      <c r="B31" s="40" t="s">
        <v>156</v>
      </c>
      <c r="C31" s="40" t="s">
        <v>159</v>
      </c>
      <c r="D31" s="6"/>
      <c r="E31" s="6">
        <f>D31</f>
        <v>0</v>
      </c>
      <c r="F31" s="6"/>
      <c r="G31" s="6">
        <f t="shared" ref="G31:G34" si="2">F31</f>
        <v>0</v>
      </c>
      <c r="H31" s="1"/>
    </row>
    <row r="32" spans="1:8" x14ac:dyDescent="0.3">
      <c r="A32" s="37" t="s">
        <v>167</v>
      </c>
      <c r="B32" s="40" t="s">
        <v>157</v>
      </c>
      <c r="C32" s="40" t="s">
        <v>160</v>
      </c>
      <c r="D32" s="6"/>
      <c r="E32" s="6"/>
      <c r="F32" s="6"/>
      <c r="G32" s="6">
        <f t="shared" si="2"/>
        <v>0</v>
      </c>
      <c r="H32" s="1"/>
    </row>
    <row r="33" spans="1:8" ht="27" x14ac:dyDescent="0.3">
      <c r="A33" s="37" t="s">
        <v>165</v>
      </c>
      <c r="B33" s="40" t="s">
        <v>161</v>
      </c>
      <c r="C33" s="40" t="s">
        <v>158</v>
      </c>
      <c r="D33" s="6"/>
      <c r="E33" s="6">
        <f t="shared" ref="E33:E34" si="3">D33</f>
        <v>0</v>
      </c>
      <c r="F33" s="6"/>
      <c r="G33" s="6">
        <f t="shared" si="2"/>
        <v>0</v>
      </c>
      <c r="H33" s="1"/>
    </row>
    <row r="34" spans="1:8" ht="40.200000000000003" x14ac:dyDescent="0.3">
      <c r="A34" s="37" t="s">
        <v>168</v>
      </c>
      <c r="B34" s="42" t="s">
        <v>162</v>
      </c>
      <c r="C34" s="42" t="s">
        <v>163</v>
      </c>
      <c r="D34" s="6"/>
      <c r="E34" s="6">
        <f t="shared" si="3"/>
        <v>0</v>
      </c>
      <c r="F34" s="6"/>
      <c r="G34" s="6">
        <f t="shared" si="2"/>
        <v>0</v>
      </c>
    </row>
    <row r="35" spans="1:8" x14ac:dyDescent="0.3">
      <c r="A35" s="6"/>
      <c r="B35" s="5" t="s">
        <v>62</v>
      </c>
      <c r="C35" s="6"/>
      <c r="D35" s="5">
        <f>SUM(D30:D33)</f>
        <v>0</v>
      </c>
      <c r="E35" s="5">
        <f>SUM(E30:E33)</f>
        <v>0</v>
      </c>
      <c r="F35" s="5">
        <f>SUM(F30:F33)</f>
        <v>0</v>
      </c>
      <c r="G35" s="5">
        <f>SUM(G30:G33)</f>
        <v>0</v>
      </c>
      <c r="H35" s="1"/>
    </row>
    <row r="36" spans="1:8" x14ac:dyDescent="0.3">
      <c r="A36" s="28"/>
      <c r="B36" s="28"/>
      <c r="C36" s="28"/>
      <c r="D36" s="28"/>
      <c r="E36" s="28"/>
      <c r="F36" s="28"/>
      <c r="G36" s="28"/>
      <c r="H36" s="1"/>
    </row>
    <row r="37" spans="1:8" x14ac:dyDescent="0.3">
      <c r="A37" s="27"/>
      <c r="B37" s="27"/>
      <c r="C37" s="27"/>
      <c r="D37" s="27"/>
      <c r="E37" s="27"/>
      <c r="F37" s="27"/>
      <c r="G37" s="27"/>
      <c r="H37" s="1"/>
    </row>
    <row r="38" spans="1:8" x14ac:dyDescent="0.3">
      <c r="A38" s="27"/>
      <c r="B38" s="27"/>
      <c r="C38" s="27"/>
      <c r="D38" s="27"/>
      <c r="E38" s="27"/>
      <c r="F38" s="27"/>
      <c r="G38" s="27"/>
      <c r="H38" s="1"/>
    </row>
    <row r="39" spans="1:8" x14ac:dyDescent="0.3">
      <c r="A39" s="1"/>
      <c r="B39" s="1"/>
      <c r="C39" s="1"/>
      <c r="D39" s="1"/>
      <c r="E39" s="1"/>
      <c r="F39" s="1"/>
      <c r="G39" s="1"/>
      <c r="H39" s="1"/>
    </row>
    <row r="40" spans="1:8" x14ac:dyDescent="0.3">
      <c r="A40" s="1"/>
      <c r="B40" s="28"/>
      <c r="C40" s="1"/>
      <c r="D40" s="29"/>
      <c r="E40" s="29"/>
      <c r="F40" s="29"/>
      <c r="G40" s="29"/>
      <c r="H40" s="1"/>
    </row>
    <row r="41" spans="1:8" x14ac:dyDescent="0.3">
      <c r="A41" s="28"/>
      <c r="B41" s="28"/>
      <c r="C41" s="1"/>
      <c r="D41" s="29"/>
      <c r="E41" s="29"/>
      <c r="F41" s="29"/>
      <c r="G41" s="29"/>
      <c r="H41" s="1"/>
    </row>
    <row r="42" spans="1:8" x14ac:dyDescent="0.3">
      <c r="A42" s="1"/>
      <c r="B42" s="1"/>
      <c r="C42" s="1"/>
      <c r="D42" s="1"/>
      <c r="E42" s="1"/>
      <c r="F42" s="1"/>
      <c r="G42" s="1"/>
      <c r="H42" s="1"/>
    </row>
    <row r="43" spans="1:8" x14ac:dyDescent="0.3">
      <c r="A43" s="1"/>
      <c r="B43" s="1"/>
      <c r="C43" s="1"/>
      <c r="D43" s="1"/>
      <c r="E43" s="1"/>
      <c r="F43" s="1"/>
      <c r="G43" s="1"/>
      <c r="H43" s="1"/>
    </row>
    <row r="44" spans="1:8" x14ac:dyDescent="0.3">
      <c r="A44" s="1"/>
      <c r="B44" s="1"/>
      <c r="C44" s="1"/>
      <c r="D44" s="1"/>
      <c r="E44" s="1"/>
      <c r="F44" s="1"/>
      <c r="G44" s="1"/>
      <c r="H44" s="1"/>
    </row>
    <row r="45" spans="1:8" x14ac:dyDescent="0.3">
      <c r="A45" s="1"/>
      <c r="B45" s="1"/>
      <c r="C45" s="1"/>
      <c r="D45" s="1"/>
      <c r="E45" s="1"/>
      <c r="F45" s="1"/>
      <c r="G45" s="1"/>
      <c r="H45" s="1"/>
    </row>
    <row r="46" spans="1:8" x14ac:dyDescent="0.3">
      <c r="A46" s="1"/>
      <c r="B46" s="1"/>
      <c r="C46" s="1"/>
      <c r="D46" s="1"/>
      <c r="E46" s="1"/>
      <c r="F46" s="1"/>
      <c r="G46" s="1"/>
      <c r="H46" s="1"/>
    </row>
    <row r="47" spans="1:8" x14ac:dyDescent="0.3">
      <c r="A47" s="1"/>
      <c r="B47" s="1"/>
      <c r="C47" s="1"/>
      <c r="D47" s="1"/>
      <c r="E47" s="1"/>
      <c r="F47" s="1"/>
      <c r="G47" s="1"/>
      <c r="H47" s="1"/>
    </row>
    <row r="48" spans="1:8" x14ac:dyDescent="0.3">
      <c r="A48" s="1"/>
      <c r="B48" s="1"/>
      <c r="C48" s="1"/>
      <c r="D48" s="1"/>
      <c r="E48" s="1"/>
      <c r="F48" s="1"/>
      <c r="G48" s="1"/>
      <c r="H48" s="1"/>
    </row>
    <row r="49" spans="1:8" x14ac:dyDescent="0.3">
      <c r="A49" s="1"/>
      <c r="B49" s="1"/>
      <c r="C49" s="1"/>
      <c r="D49" s="1"/>
      <c r="E49" s="1"/>
      <c r="F49" s="1"/>
      <c r="G49" s="1"/>
      <c r="H49" s="1"/>
    </row>
    <row r="50" spans="1:8" x14ac:dyDescent="0.3">
      <c r="A50" s="1"/>
      <c r="B50" s="1"/>
      <c r="C50" s="1"/>
      <c r="D50" s="1"/>
      <c r="E50" s="1"/>
      <c r="F50" s="1"/>
      <c r="G50" s="1"/>
      <c r="H50" s="1"/>
    </row>
    <row r="51" spans="1:8" x14ac:dyDescent="0.3">
      <c r="A51" s="1"/>
      <c r="B51" s="1"/>
      <c r="C51" s="1"/>
      <c r="D51" s="1"/>
      <c r="E51" s="1"/>
      <c r="F51" s="1"/>
      <c r="G51" s="1"/>
      <c r="H51" s="1"/>
    </row>
    <row r="52" spans="1:8" x14ac:dyDescent="0.3">
      <c r="A52" s="1"/>
      <c r="B52" s="1"/>
      <c r="C52" s="1"/>
      <c r="D52" s="1"/>
      <c r="E52" s="1"/>
      <c r="F52" s="1"/>
      <c r="G52" s="1"/>
      <c r="H52" s="1"/>
    </row>
    <row r="53" spans="1:8" x14ac:dyDescent="0.3">
      <c r="A53" s="1"/>
      <c r="B53" s="1"/>
      <c r="C53" s="1"/>
      <c r="D53" s="1"/>
      <c r="E53" s="1"/>
      <c r="F53" s="1"/>
      <c r="G53" s="1"/>
      <c r="H53" s="1"/>
    </row>
    <row r="54" spans="1:8" x14ac:dyDescent="0.3">
      <c r="A54" s="1"/>
      <c r="B54" s="1"/>
      <c r="C54" s="1"/>
      <c r="D54" s="1"/>
      <c r="E54" s="1"/>
      <c r="F54" s="1"/>
      <c r="G54" s="1"/>
      <c r="H54" s="1"/>
    </row>
    <row r="55" spans="1:8" x14ac:dyDescent="0.3">
      <c r="A55" s="1"/>
      <c r="B55" s="1"/>
      <c r="C55" s="1"/>
      <c r="D55" s="1"/>
      <c r="E55" s="1"/>
      <c r="F55" s="1"/>
      <c r="G55" s="1"/>
      <c r="H55" s="1"/>
    </row>
    <row r="56" spans="1:8" x14ac:dyDescent="0.3">
      <c r="A56" s="1"/>
      <c r="B56" s="1"/>
      <c r="C56" s="1"/>
      <c r="D56" s="1"/>
      <c r="E56" s="1"/>
      <c r="F56" s="1"/>
      <c r="G56" s="1"/>
      <c r="H56" s="1"/>
    </row>
    <row r="57" spans="1:8" x14ac:dyDescent="0.3">
      <c r="A57" s="1"/>
      <c r="B57" s="1"/>
      <c r="C57" s="1"/>
      <c r="D57" s="1"/>
      <c r="E57" s="1"/>
      <c r="F57" s="1"/>
      <c r="G57" s="1"/>
      <c r="H57" s="1"/>
    </row>
    <row r="58" spans="1:8" x14ac:dyDescent="0.3">
      <c r="A58" s="1"/>
      <c r="B58" s="1"/>
      <c r="C58" s="1"/>
      <c r="D58" s="1"/>
      <c r="E58" s="1"/>
      <c r="F58" s="1"/>
      <c r="G58" s="1"/>
      <c r="H58" s="1"/>
    </row>
    <row r="59" spans="1:8" x14ac:dyDescent="0.3">
      <c r="A59" s="1"/>
      <c r="B59" s="1"/>
      <c r="C59" s="1"/>
      <c r="D59" s="1"/>
      <c r="E59" s="1"/>
      <c r="F59" s="1"/>
      <c r="G59" s="1"/>
      <c r="H59" s="1"/>
    </row>
    <row r="60" spans="1:8" x14ac:dyDescent="0.3">
      <c r="A60" s="1"/>
      <c r="B60" s="1"/>
      <c r="C60" s="1"/>
      <c r="D60" s="1"/>
      <c r="E60" s="1"/>
      <c r="F60" s="1"/>
      <c r="G60" s="1"/>
      <c r="H60" s="1"/>
    </row>
    <row r="61" spans="1:8" x14ac:dyDescent="0.3">
      <c r="A61" s="1"/>
      <c r="B61" s="1"/>
      <c r="C61" s="1"/>
      <c r="D61" s="1"/>
      <c r="E61" s="1"/>
      <c r="F61" s="1"/>
      <c r="G61" s="1"/>
      <c r="H61" s="1"/>
    </row>
    <row r="62" spans="1:8" x14ac:dyDescent="0.3">
      <c r="A62" s="1"/>
      <c r="B62" s="1"/>
      <c r="C62" s="1"/>
      <c r="D62" s="1"/>
      <c r="E62" s="1"/>
      <c r="F62" s="1"/>
      <c r="G62" s="1"/>
      <c r="H62" s="1"/>
    </row>
    <row r="63" spans="1:8" x14ac:dyDescent="0.3">
      <c r="A63" s="1"/>
      <c r="B63" s="1"/>
      <c r="C63" s="1"/>
      <c r="D63" s="1"/>
      <c r="E63" s="1"/>
      <c r="F63" s="1"/>
      <c r="G63" s="1"/>
      <c r="H63" s="1"/>
    </row>
    <row r="64" spans="1:8" x14ac:dyDescent="0.3">
      <c r="A64" s="1"/>
      <c r="B64" s="1"/>
      <c r="C64" s="1"/>
      <c r="D64" s="1"/>
      <c r="E64" s="1"/>
      <c r="F64" s="1"/>
      <c r="G64" s="1"/>
      <c r="H64" s="1"/>
    </row>
    <row r="65" spans="1:8" x14ac:dyDescent="0.3">
      <c r="A65" s="1"/>
      <c r="B65" s="1"/>
      <c r="C65" s="1"/>
      <c r="D65" s="1"/>
      <c r="E65" s="1"/>
      <c r="F65" s="1"/>
      <c r="G65" s="1"/>
      <c r="H65" s="1"/>
    </row>
    <row r="66" spans="1:8" x14ac:dyDescent="0.3">
      <c r="A66" s="1"/>
      <c r="B66" s="1"/>
      <c r="C66" s="1"/>
      <c r="D66" s="1"/>
      <c r="E66" s="1"/>
      <c r="F66" s="1"/>
      <c r="G66" s="1"/>
      <c r="H66" s="1"/>
    </row>
    <row r="67" spans="1:8" x14ac:dyDescent="0.3">
      <c r="A67" s="1"/>
      <c r="B67" s="1"/>
      <c r="C67" s="1"/>
      <c r="D67" s="1"/>
      <c r="E67" s="1"/>
      <c r="F67" s="1"/>
      <c r="G67" s="1"/>
      <c r="H67" s="1"/>
    </row>
  </sheetData>
  <mergeCells count="12">
    <mergeCell ref="A1:G1"/>
    <mergeCell ref="A2:G2"/>
    <mergeCell ref="A29:G29"/>
    <mergeCell ref="D3:E3"/>
    <mergeCell ref="F3:G3"/>
    <mergeCell ref="F4:G4"/>
    <mergeCell ref="D4:E4"/>
    <mergeCell ref="B3:B5"/>
    <mergeCell ref="C3:C5"/>
    <mergeCell ref="A3:A5"/>
    <mergeCell ref="A7:G7"/>
    <mergeCell ref="A25:G25"/>
  </mergeCells>
  <phoneticPr fontId="14" type="noConversion"/>
  <pageMargins left="0.7" right="0.7" top="0.75" bottom="0.75" header="0.3" footer="0.3"/>
  <pageSetup paperSize="9" scale="75" orientation="portrait" r:id="rId1"/>
  <rowBreaks count="1" manualBreakCount="1">
    <brk id="35" max="16383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32"/>
  <sheetViews>
    <sheetView zoomScaleSheetLayoutView="100" workbookViewId="0">
      <selection sqref="A1:G1"/>
    </sheetView>
  </sheetViews>
  <sheetFormatPr defaultRowHeight="14.4" x14ac:dyDescent="0.3"/>
  <cols>
    <col min="1" max="1" width="10.109375" bestFit="1" customWidth="1"/>
    <col min="2" max="2" width="43.44140625" customWidth="1"/>
    <col min="3" max="3" width="24.88671875" customWidth="1"/>
  </cols>
  <sheetData>
    <row r="1" spans="1:8" x14ac:dyDescent="0.3">
      <c r="A1" s="125"/>
      <c r="B1" s="126"/>
      <c r="C1" s="126"/>
      <c r="D1" s="126"/>
      <c r="E1" s="126"/>
      <c r="F1" s="126"/>
      <c r="G1" s="127"/>
      <c r="H1" s="1"/>
    </row>
    <row r="2" spans="1:8" ht="40.200000000000003" x14ac:dyDescent="0.3">
      <c r="A2" s="24" t="s">
        <v>175</v>
      </c>
      <c r="B2" s="23" t="s">
        <v>169</v>
      </c>
      <c r="C2" s="30" t="s">
        <v>172</v>
      </c>
      <c r="D2" s="6"/>
      <c r="E2" s="43">
        <f>D2</f>
        <v>0</v>
      </c>
      <c r="F2" s="43"/>
      <c r="G2" s="43">
        <f>F2</f>
        <v>0</v>
      </c>
      <c r="H2" s="1"/>
    </row>
    <row r="3" spans="1:8" ht="27" x14ac:dyDescent="0.3">
      <c r="A3" s="24" t="s">
        <v>176</v>
      </c>
      <c r="B3" s="23" t="s">
        <v>170</v>
      </c>
      <c r="C3" s="30" t="s">
        <v>173</v>
      </c>
      <c r="D3" s="6"/>
      <c r="E3" s="43">
        <f t="shared" ref="E3:E4" si="0">D3</f>
        <v>0</v>
      </c>
      <c r="F3" s="43"/>
      <c r="G3" s="43">
        <f t="shared" ref="G3:G4" si="1">F3</f>
        <v>0</v>
      </c>
      <c r="H3" s="1"/>
    </row>
    <row r="4" spans="1:8" ht="27" x14ac:dyDescent="0.3">
      <c r="A4" s="24" t="s">
        <v>177</v>
      </c>
      <c r="B4" s="23" t="s">
        <v>171</v>
      </c>
      <c r="C4" s="30" t="s">
        <v>174</v>
      </c>
      <c r="D4" s="6"/>
      <c r="E4" s="43">
        <f t="shared" si="0"/>
        <v>0</v>
      </c>
      <c r="F4" s="6"/>
      <c r="G4" s="43">
        <f t="shared" si="1"/>
        <v>0</v>
      </c>
      <c r="H4" s="1"/>
    </row>
    <row r="5" spans="1:8" x14ac:dyDescent="0.3">
      <c r="A5" s="2"/>
      <c r="B5" s="4" t="s">
        <v>62</v>
      </c>
      <c r="C5" s="2"/>
      <c r="D5" s="5">
        <f>SUM(D2:D4)</f>
        <v>0</v>
      </c>
      <c r="E5" s="5">
        <f t="shared" ref="E5:G5" si="2">SUM(E2:E4)</f>
        <v>0</v>
      </c>
      <c r="F5" s="5">
        <f t="shared" si="2"/>
        <v>0</v>
      </c>
      <c r="G5" s="5">
        <f t="shared" si="2"/>
        <v>0</v>
      </c>
      <c r="H5" s="1"/>
    </row>
    <row r="6" spans="1:8" x14ac:dyDescent="0.3">
      <c r="A6" s="128" t="s">
        <v>92</v>
      </c>
      <c r="B6" s="128"/>
      <c r="C6" s="2"/>
      <c r="D6" s="5">
        <f xml:space="preserve"> SUM(D5,УМР!D35,УМР!D28,УМР!D24)</f>
        <v>0</v>
      </c>
      <c r="E6" s="5">
        <f xml:space="preserve"> SUM(E5,УМР!E35,УМР!E28,УМР!E24)</f>
        <v>0</v>
      </c>
      <c r="F6" s="5">
        <f xml:space="preserve"> SUM(F5,УМР!F35,УМР!F28,УМР!F24)</f>
        <v>0</v>
      </c>
      <c r="G6" s="5">
        <f xml:space="preserve"> SUM(G5,УМР!G35,УМР!G28,УМР!G24)</f>
        <v>0</v>
      </c>
      <c r="H6" s="1"/>
    </row>
    <row r="7" spans="1:8" x14ac:dyDescent="0.3">
      <c r="A7" s="1"/>
      <c r="B7" s="1"/>
      <c r="C7" s="1"/>
      <c r="D7" s="1"/>
      <c r="E7" s="1"/>
      <c r="F7" s="1"/>
      <c r="G7" s="1"/>
      <c r="H7" s="1"/>
    </row>
    <row r="8" spans="1:8" x14ac:dyDescent="0.3">
      <c r="A8" s="1"/>
      <c r="B8" s="1"/>
      <c r="C8" s="1"/>
      <c r="D8" s="1"/>
      <c r="E8" s="1"/>
      <c r="F8" s="1"/>
      <c r="G8" s="1"/>
      <c r="H8" s="1"/>
    </row>
    <row r="9" spans="1:8" x14ac:dyDescent="0.3">
      <c r="A9" s="1"/>
      <c r="B9" s="1"/>
      <c r="C9" s="1"/>
      <c r="D9" s="1"/>
      <c r="E9" s="1"/>
      <c r="F9" s="1"/>
      <c r="G9" s="1"/>
      <c r="H9" s="1"/>
    </row>
    <row r="10" spans="1:8" x14ac:dyDescent="0.3">
      <c r="A10" s="1"/>
      <c r="B10" s="1"/>
      <c r="C10" s="1"/>
      <c r="D10" s="1"/>
      <c r="E10" s="1"/>
      <c r="F10" s="1"/>
      <c r="G10" s="1"/>
      <c r="H10" s="1"/>
    </row>
    <row r="11" spans="1:8" x14ac:dyDescent="0.3">
      <c r="A11" s="1"/>
      <c r="B11" s="1"/>
      <c r="C11" s="1"/>
      <c r="D11" s="1"/>
      <c r="E11" s="1"/>
      <c r="F11" s="1"/>
      <c r="G11" s="1"/>
      <c r="H11" s="1"/>
    </row>
    <row r="12" spans="1:8" x14ac:dyDescent="0.3">
      <c r="A12" s="1"/>
      <c r="B12" s="1"/>
      <c r="C12" s="1"/>
      <c r="D12" s="1"/>
      <c r="E12" s="1"/>
      <c r="F12" s="1"/>
      <c r="G12" s="1"/>
      <c r="H12" s="1"/>
    </row>
    <row r="13" spans="1:8" x14ac:dyDescent="0.3">
      <c r="A13" s="1"/>
      <c r="B13" s="1"/>
      <c r="C13" s="1"/>
      <c r="D13" s="1"/>
      <c r="E13" s="1"/>
      <c r="F13" s="1"/>
      <c r="G13" s="1"/>
      <c r="H13" s="1"/>
    </row>
    <row r="14" spans="1:8" x14ac:dyDescent="0.3">
      <c r="A14" s="1"/>
      <c r="B14" s="1"/>
      <c r="C14" s="1"/>
      <c r="D14" s="1"/>
      <c r="E14" s="1"/>
      <c r="F14" s="1"/>
      <c r="G14" s="1"/>
      <c r="H14" s="1"/>
    </row>
    <row r="15" spans="1:8" x14ac:dyDescent="0.3">
      <c r="A15" s="1"/>
      <c r="B15" s="1"/>
      <c r="C15" s="1"/>
      <c r="D15" s="1"/>
      <c r="E15" s="1"/>
      <c r="F15" s="1"/>
      <c r="G15" s="1"/>
      <c r="H15" s="1"/>
    </row>
    <row r="16" spans="1:8" x14ac:dyDescent="0.3">
      <c r="A16" s="1"/>
      <c r="B16" s="1"/>
      <c r="C16" s="1"/>
      <c r="D16" s="1"/>
      <c r="E16" s="1"/>
      <c r="F16" s="1"/>
      <c r="G16" s="1"/>
      <c r="H16" s="1"/>
    </row>
    <row r="17" spans="1:8" x14ac:dyDescent="0.3">
      <c r="A17" s="1"/>
      <c r="B17" s="1"/>
      <c r="C17" s="1"/>
      <c r="D17" s="1"/>
      <c r="E17" s="1"/>
      <c r="F17" s="1"/>
      <c r="G17" s="1"/>
      <c r="H17" s="1"/>
    </row>
    <row r="18" spans="1:8" x14ac:dyDescent="0.3">
      <c r="A18" s="1"/>
      <c r="B18" s="1"/>
      <c r="C18" s="1"/>
      <c r="D18" s="1"/>
      <c r="E18" s="1"/>
      <c r="F18" s="1"/>
      <c r="G18" s="1"/>
      <c r="H18" s="1"/>
    </row>
    <row r="19" spans="1:8" x14ac:dyDescent="0.3">
      <c r="A19" s="1"/>
      <c r="B19" s="1"/>
      <c r="C19" s="1"/>
      <c r="D19" s="1"/>
      <c r="E19" s="1"/>
      <c r="F19" s="1"/>
      <c r="G19" s="1"/>
      <c r="H19" s="1"/>
    </row>
    <row r="20" spans="1:8" x14ac:dyDescent="0.3">
      <c r="A20" s="1"/>
      <c r="B20" s="1"/>
      <c r="C20" s="1"/>
      <c r="D20" s="1"/>
      <c r="E20" s="1"/>
      <c r="F20" s="1"/>
      <c r="G20" s="1"/>
      <c r="H20" s="1"/>
    </row>
    <row r="21" spans="1:8" x14ac:dyDescent="0.3">
      <c r="A21" s="1"/>
      <c r="B21" s="1"/>
      <c r="C21" s="1"/>
      <c r="D21" s="1"/>
      <c r="E21" s="1"/>
      <c r="F21" s="1"/>
      <c r="G21" s="1"/>
      <c r="H21" s="1"/>
    </row>
    <row r="22" spans="1:8" x14ac:dyDescent="0.3">
      <c r="A22" s="1"/>
      <c r="B22" s="1"/>
      <c r="C22" s="1"/>
      <c r="D22" s="1"/>
      <c r="E22" s="1"/>
      <c r="F22" s="1"/>
      <c r="G22" s="1"/>
      <c r="H22" s="1"/>
    </row>
    <row r="23" spans="1:8" x14ac:dyDescent="0.3">
      <c r="A23" s="1"/>
      <c r="B23" s="1"/>
      <c r="C23" s="1"/>
      <c r="D23" s="1"/>
      <c r="E23" s="1"/>
      <c r="F23" s="1"/>
      <c r="G23" s="1"/>
      <c r="H23" s="1"/>
    </row>
    <row r="24" spans="1:8" x14ac:dyDescent="0.3">
      <c r="A24" s="1"/>
      <c r="B24" s="1"/>
      <c r="C24" s="1"/>
      <c r="D24" s="1"/>
      <c r="E24" s="1"/>
      <c r="F24" s="1"/>
      <c r="G24" s="1"/>
      <c r="H24" s="1"/>
    </row>
    <row r="25" spans="1:8" x14ac:dyDescent="0.3">
      <c r="A25" s="1"/>
      <c r="B25" s="1"/>
      <c r="C25" s="1"/>
      <c r="D25" s="1"/>
      <c r="E25" s="1"/>
      <c r="F25" s="1"/>
      <c r="G25" s="1"/>
      <c r="H25" s="1"/>
    </row>
    <row r="26" spans="1:8" x14ac:dyDescent="0.3">
      <c r="A26" s="1"/>
      <c r="B26" s="1"/>
      <c r="C26" s="1"/>
      <c r="D26" s="1"/>
      <c r="E26" s="1"/>
      <c r="F26" s="1"/>
      <c r="G26" s="1"/>
      <c r="H26" s="1"/>
    </row>
    <row r="27" spans="1:8" x14ac:dyDescent="0.3">
      <c r="A27" s="1"/>
      <c r="B27" s="1"/>
      <c r="C27" s="1"/>
      <c r="D27" s="1"/>
      <c r="E27" s="1"/>
      <c r="F27" s="1"/>
      <c r="G27" s="1"/>
      <c r="H27" s="1"/>
    </row>
    <row r="28" spans="1:8" x14ac:dyDescent="0.3">
      <c r="A28" s="1"/>
      <c r="B28" s="1"/>
      <c r="C28" s="1"/>
      <c r="D28" s="1"/>
      <c r="E28" s="1"/>
      <c r="F28" s="1"/>
      <c r="G28" s="1"/>
      <c r="H28" s="1"/>
    </row>
    <row r="29" spans="1:8" x14ac:dyDescent="0.3">
      <c r="A29" s="1"/>
      <c r="B29" s="1"/>
      <c r="C29" s="1"/>
      <c r="D29" s="1"/>
      <c r="E29" s="1"/>
      <c r="F29" s="1"/>
      <c r="G29" s="1"/>
      <c r="H29" s="1"/>
    </row>
    <row r="30" spans="1:8" x14ac:dyDescent="0.3">
      <c r="A30" s="1"/>
      <c r="B30" s="1"/>
      <c r="C30" s="1"/>
      <c r="D30" s="1"/>
      <c r="E30" s="1"/>
      <c r="F30" s="1"/>
      <c r="G30" s="1"/>
      <c r="H30" s="1"/>
    </row>
    <row r="31" spans="1:8" x14ac:dyDescent="0.3">
      <c r="A31" s="1"/>
      <c r="B31" s="1"/>
      <c r="C31" s="1"/>
      <c r="D31" s="1"/>
      <c r="E31" s="1"/>
      <c r="F31" s="1"/>
      <c r="G31" s="1"/>
      <c r="H31" s="1"/>
    </row>
    <row r="32" spans="1:8" x14ac:dyDescent="0.3">
      <c r="A32" s="1"/>
      <c r="B32" s="1"/>
      <c r="C32" s="1"/>
      <c r="D32" s="1"/>
      <c r="E32" s="1"/>
      <c r="F32" s="1"/>
      <c r="G32" s="1"/>
      <c r="H32" s="1"/>
    </row>
  </sheetData>
  <mergeCells count="2">
    <mergeCell ref="A1:G1"/>
    <mergeCell ref="A6:B6"/>
  </mergeCells>
  <phoneticPr fontId="14" type="noConversion"/>
  <pageMargins left="0.7" right="0.7" top="0.75" bottom="0.75" header="0.3" footer="0.3"/>
  <pageSetup paperSize="9" scale="75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H33"/>
  <sheetViews>
    <sheetView workbookViewId="0">
      <selection sqref="A1:G1"/>
    </sheetView>
  </sheetViews>
  <sheetFormatPr defaultRowHeight="14.4" x14ac:dyDescent="0.3"/>
  <cols>
    <col min="1" max="1" width="7.5546875" customWidth="1"/>
    <col min="2" max="2" width="36.88671875" customWidth="1"/>
    <col min="3" max="3" width="19.88671875" customWidth="1"/>
  </cols>
  <sheetData>
    <row r="1" spans="1:8" ht="17.399999999999999" x14ac:dyDescent="0.3">
      <c r="A1" s="131"/>
      <c r="B1" s="131"/>
      <c r="C1" s="131"/>
      <c r="D1" s="131"/>
      <c r="E1" s="131"/>
      <c r="F1" s="131"/>
      <c r="G1" s="131"/>
    </row>
    <row r="2" spans="1:8" ht="16.2" x14ac:dyDescent="0.35">
      <c r="A2" s="132" t="s">
        <v>45</v>
      </c>
      <c r="B2" s="132"/>
      <c r="C2" s="132"/>
      <c r="D2" s="132"/>
      <c r="E2" s="132"/>
      <c r="F2" s="132"/>
      <c r="G2" s="132"/>
    </row>
    <row r="3" spans="1:8" x14ac:dyDescent="0.3">
      <c r="A3" s="133"/>
      <c r="B3" s="134" t="s">
        <v>51</v>
      </c>
      <c r="C3" s="134" t="s">
        <v>52</v>
      </c>
      <c r="D3" s="135" t="s">
        <v>46</v>
      </c>
      <c r="E3" s="135"/>
      <c r="F3" s="135" t="s">
        <v>47</v>
      </c>
      <c r="G3" s="135"/>
    </row>
    <row r="4" spans="1:8" x14ac:dyDescent="0.3">
      <c r="A4" s="133"/>
      <c r="B4" s="134"/>
      <c r="C4" s="134"/>
      <c r="D4" s="135" t="s">
        <v>48</v>
      </c>
      <c r="E4" s="135"/>
      <c r="F4" s="135" t="s">
        <v>48</v>
      </c>
      <c r="G4" s="135"/>
    </row>
    <row r="5" spans="1:8" ht="20.399999999999999" x14ac:dyDescent="0.3">
      <c r="A5" s="133"/>
      <c r="B5" s="134"/>
      <c r="C5" s="134"/>
      <c r="D5" s="15" t="s">
        <v>49</v>
      </c>
      <c r="E5" s="16" t="s">
        <v>50</v>
      </c>
      <c r="F5" s="15" t="s">
        <v>49</v>
      </c>
      <c r="G5" s="16" t="s">
        <v>50</v>
      </c>
    </row>
    <row r="6" spans="1:8" x14ac:dyDescent="0.3">
      <c r="A6" s="11">
        <v>1</v>
      </c>
      <c r="B6" s="11">
        <v>2</v>
      </c>
      <c r="C6" s="11">
        <v>3</v>
      </c>
      <c r="D6" s="11">
        <v>4</v>
      </c>
      <c r="E6" s="11">
        <v>5</v>
      </c>
      <c r="F6" s="11">
        <v>6</v>
      </c>
      <c r="G6" s="11">
        <v>7</v>
      </c>
    </row>
    <row r="7" spans="1:8" ht="20.399999999999999" customHeight="1" x14ac:dyDescent="0.3">
      <c r="A7" s="129" t="s">
        <v>93</v>
      </c>
      <c r="B7" s="129"/>
      <c r="C7" s="129"/>
      <c r="D7" s="129"/>
      <c r="E7" s="129"/>
      <c r="F7" s="129"/>
      <c r="G7" s="129"/>
    </row>
    <row r="8" spans="1:8" ht="22.2" customHeight="1" x14ac:dyDescent="0.3">
      <c r="A8" s="12" t="s">
        <v>193</v>
      </c>
      <c r="B8" s="13" t="s">
        <v>178</v>
      </c>
      <c r="C8" s="13" t="s">
        <v>205</v>
      </c>
      <c r="D8" s="6"/>
      <c r="E8" s="6">
        <f>D8</f>
        <v>0</v>
      </c>
      <c r="F8" s="6"/>
      <c r="G8" s="6">
        <f>F8</f>
        <v>0</v>
      </c>
      <c r="H8" s="1"/>
    </row>
    <row r="9" spans="1:8" ht="27.6" customHeight="1" x14ac:dyDescent="0.3">
      <c r="A9" s="12" t="s">
        <v>194</v>
      </c>
      <c r="B9" s="13" t="s">
        <v>179</v>
      </c>
      <c r="C9" s="13" t="s">
        <v>206</v>
      </c>
      <c r="D9" s="6"/>
      <c r="E9" s="6">
        <f t="shared" ref="E9:E22" si="0">D9</f>
        <v>0</v>
      </c>
      <c r="F9" s="6"/>
      <c r="G9" s="6">
        <f t="shared" ref="G9:G22" si="1">F9</f>
        <v>0</v>
      </c>
      <c r="H9" s="1"/>
    </row>
    <row r="10" spans="1:8" ht="28.95" customHeight="1" x14ac:dyDescent="0.3">
      <c r="A10" s="12" t="s">
        <v>195</v>
      </c>
      <c r="B10" s="13" t="s">
        <v>180</v>
      </c>
      <c r="C10" s="13" t="s">
        <v>207</v>
      </c>
      <c r="D10" s="6"/>
      <c r="E10" s="6">
        <f t="shared" si="0"/>
        <v>0</v>
      </c>
      <c r="F10" s="6"/>
      <c r="G10" s="6">
        <f t="shared" si="1"/>
        <v>0</v>
      </c>
      <c r="H10" s="1"/>
    </row>
    <row r="11" spans="1:8" ht="43.2" customHeight="1" x14ac:dyDescent="0.3">
      <c r="A11" s="12" t="s">
        <v>196</v>
      </c>
      <c r="B11" s="13" t="s">
        <v>181</v>
      </c>
      <c r="C11" s="13" t="s">
        <v>207</v>
      </c>
      <c r="D11" s="6"/>
      <c r="E11" s="6">
        <f t="shared" si="0"/>
        <v>0</v>
      </c>
      <c r="F11" s="6"/>
      <c r="G11" s="6">
        <f t="shared" si="1"/>
        <v>0</v>
      </c>
      <c r="H11" s="1"/>
    </row>
    <row r="12" spans="1:8" ht="28.95" customHeight="1" x14ac:dyDescent="0.3">
      <c r="A12" s="12" t="s">
        <v>197</v>
      </c>
      <c r="B12" s="13" t="s">
        <v>182</v>
      </c>
      <c r="C12" s="13" t="s">
        <v>205</v>
      </c>
      <c r="D12" s="6"/>
      <c r="E12" s="6">
        <f t="shared" si="0"/>
        <v>0</v>
      </c>
      <c r="F12" s="6"/>
      <c r="G12" s="6">
        <f t="shared" si="1"/>
        <v>0</v>
      </c>
      <c r="H12" s="1"/>
    </row>
    <row r="13" spans="1:8" ht="43.2" customHeight="1" x14ac:dyDescent="0.3">
      <c r="A13" s="12" t="s">
        <v>198</v>
      </c>
      <c r="B13" s="13" t="s">
        <v>183</v>
      </c>
      <c r="C13" s="13" t="s">
        <v>209</v>
      </c>
      <c r="D13" s="6"/>
      <c r="E13" s="6">
        <f t="shared" si="0"/>
        <v>0</v>
      </c>
      <c r="F13" s="6"/>
      <c r="G13" s="6">
        <f t="shared" si="1"/>
        <v>0</v>
      </c>
      <c r="H13" s="1"/>
    </row>
    <row r="14" spans="1:8" ht="18" customHeight="1" x14ac:dyDescent="0.3">
      <c r="A14" s="12" t="s">
        <v>199</v>
      </c>
      <c r="B14" s="13" t="s">
        <v>184</v>
      </c>
      <c r="C14" s="13" t="s">
        <v>208</v>
      </c>
      <c r="D14" s="6"/>
      <c r="E14" s="6">
        <f t="shared" si="0"/>
        <v>0</v>
      </c>
      <c r="F14" s="6"/>
      <c r="G14" s="6">
        <f t="shared" si="1"/>
        <v>0</v>
      </c>
      <c r="H14" s="1"/>
    </row>
    <row r="15" spans="1:8" ht="18" customHeight="1" x14ac:dyDescent="0.3">
      <c r="A15" s="12" t="s">
        <v>200</v>
      </c>
      <c r="B15" s="13" t="s">
        <v>185</v>
      </c>
      <c r="D15" s="6"/>
      <c r="E15" s="6">
        <f t="shared" si="0"/>
        <v>0</v>
      </c>
      <c r="F15" s="6"/>
      <c r="G15" s="6">
        <f t="shared" si="1"/>
        <v>0</v>
      </c>
      <c r="H15" s="1"/>
    </row>
    <row r="16" spans="1:8" ht="18" customHeight="1" x14ac:dyDescent="0.3">
      <c r="B16" s="13" t="s">
        <v>186</v>
      </c>
      <c r="C16" s="13" t="s">
        <v>208</v>
      </c>
      <c r="D16" s="6"/>
      <c r="E16" s="6">
        <f t="shared" si="0"/>
        <v>0</v>
      </c>
      <c r="F16" s="6"/>
      <c r="G16" s="6">
        <f t="shared" si="1"/>
        <v>0</v>
      </c>
      <c r="H16" s="1"/>
    </row>
    <row r="17" spans="1:8" ht="18" customHeight="1" x14ac:dyDescent="0.3">
      <c r="B17" s="13" t="s">
        <v>187</v>
      </c>
      <c r="C17" s="13" t="s">
        <v>210</v>
      </c>
      <c r="D17" s="6"/>
      <c r="E17" s="6">
        <f t="shared" si="0"/>
        <v>0</v>
      </c>
      <c r="F17" s="6"/>
      <c r="G17" s="6">
        <f t="shared" si="1"/>
        <v>0</v>
      </c>
      <c r="H17" s="1"/>
    </row>
    <row r="18" spans="1:8" ht="29.4" customHeight="1" x14ac:dyDescent="0.3">
      <c r="B18" s="13" t="s">
        <v>188</v>
      </c>
      <c r="C18" s="13" t="s">
        <v>211</v>
      </c>
      <c r="D18" s="6"/>
      <c r="E18" s="6">
        <f t="shared" si="0"/>
        <v>0</v>
      </c>
      <c r="F18" s="6"/>
      <c r="G18" s="6">
        <f t="shared" si="1"/>
        <v>0</v>
      </c>
      <c r="H18" s="1"/>
    </row>
    <row r="19" spans="1:8" ht="18" customHeight="1" x14ac:dyDescent="0.3">
      <c r="A19" s="12" t="s">
        <v>201</v>
      </c>
      <c r="B19" s="13" t="s">
        <v>189</v>
      </c>
      <c r="C19" s="13" t="s">
        <v>212</v>
      </c>
      <c r="D19" s="6"/>
      <c r="E19" s="6">
        <f t="shared" si="0"/>
        <v>0</v>
      </c>
      <c r="F19" s="6"/>
      <c r="G19" s="6">
        <f t="shared" si="1"/>
        <v>0</v>
      </c>
      <c r="H19" s="1"/>
    </row>
    <row r="20" spans="1:8" ht="28.95" customHeight="1" x14ac:dyDescent="0.3">
      <c r="A20" s="12" t="s">
        <v>202</v>
      </c>
      <c r="B20" s="13" t="s">
        <v>190</v>
      </c>
      <c r="C20" s="13" t="s">
        <v>214</v>
      </c>
      <c r="D20" s="6"/>
      <c r="E20" s="6">
        <f t="shared" si="0"/>
        <v>0</v>
      </c>
      <c r="F20" s="6"/>
      <c r="G20" s="6">
        <f t="shared" si="1"/>
        <v>0</v>
      </c>
      <c r="H20" s="1"/>
    </row>
    <row r="21" spans="1:8" ht="27.6" customHeight="1" x14ac:dyDescent="0.3">
      <c r="A21" s="12" t="s">
        <v>203</v>
      </c>
      <c r="B21" s="13" t="s">
        <v>191</v>
      </c>
      <c r="C21" s="13" t="s">
        <v>213</v>
      </c>
      <c r="D21" s="6"/>
      <c r="E21" s="6">
        <f t="shared" si="0"/>
        <v>0</v>
      </c>
      <c r="F21" s="6"/>
      <c r="G21" s="6">
        <f t="shared" si="1"/>
        <v>0</v>
      </c>
      <c r="H21" s="1"/>
    </row>
    <row r="22" spans="1:8" ht="27.6" customHeight="1" x14ac:dyDescent="0.3">
      <c r="A22" s="12" t="s">
        <v>204</v>
      </c>
      <c r="B22" s="13" t="s">
        <v>192</v>
      </c>
      <c r="C22" s="13" t="s">
        <v>212</v>
      </c>
      <c r="D22" s="6"/>
      <c r="E22" s="6">
        <f t="shared" si="0"/>
        <v>0</v>
      </c>
      <c r="F22" s="6"/>
      <c r="G22" s="6">
        <f t="shared" si="1"/>
        <v>0</v>
      </c>
      <c r="H22" s="1"/>
    </row>
    <row r="23" spans="1:8" ht="18" customHeight="1" x14ac:dyDescent="0.3">
      <c r="A23" s="2"/>
      <c r="B23" s="4" t="s">
        <v>62</v>
      </c>
      <c r="C23" s="2"/>
      <c r="D23" s="5">
        <f>SUM(D8:D22)</f>
        <v>0</v>
      </c>
      <c r="E23" s="5">
        <f>SUM(E8:E22)</f>
        <v>0</v>
      </c>
      <c r="F23" s="5">
        <f>SUM(F8:F22)</f>
        <v>0</v>
      </c>
      <c r="G23" s="5">
        <f>SUM(G8:G22)</f>
        <v>0</v>
      </c>
      <c r="H23" s="1"/>
    </row>
    <row r="24" spans="1:8" ht="18" customHeight="1" x14ac:dyDescent="0.3">
      <c r="A24" s="130" t="s">
        <v>94</v>
      </c>
      <c r="B24" s="130"/>
      <c r="C24" s="130"/>
      <c r="D24" s="130"/>
      <c r="E24" s="130"/>
      <c r="F24" s="130"/>
      <c r="G24" s="130"/>
      <c r="H24" s="1"/>
    </row>
    <row r="25" spans="1:8" ht="41.4" customHeight="1" x14ac:dyDescent="0.3">
      <c r="A25" s="25" t="s">
        <v>193</v>
      </c>
      <c r="B25" s="22" t="s">
        <v>215</v>
      </c>
      <c r="C25" s="26" t="s">
        <v>211</v>
      </c>
      <c r="D25" s="6"/>
      <c r="E25" s="6">
        <f>D25</f>
        <v>0</v>
      </c>
      <c r="F25" s="6"/>
      <c r="G25" s="6">
        <f>F25</f>
        <v>0</v>
      </c>
      <c r="H25" s="1"/>
    </row>
    <row r="26" spans="1:8" ht="27" customHeight="1" x14ac:dyDescent="0.3">
      <c r="A26" s="25" t="s">
        <v>194</v>
      </c>
      <c r="B26" s="22" t="s">
        <v>216</v>
      </c>
      <c r="C26" s="26" t="s">
        <v>220</v>
      </c>
      <c r="D26" s="6"/>
      <c r="E26" s="6">
        <f t="shared" ref="E26:E29" si="2">D26</f>
        <v>0</v>
      </c>
      <c r="F26" s="6"/>
      <c r="G26" s="6">
        <f t="shared" ref="G26:G29" si="3">F26</f>
        <v>0</v>
      </c>
      <c r="H26" s="1"/>
    </row>
    <row r="27" spans="1:8" ht="42" customHeight="1" x14ac:dyDescent="0.3">
      <c r="A27" s="25" t="s">
        <v>195</v>
      </c>
      <c r="B27" s="22" t="s">
        <v>221</v>
      </c>
      <c r="C27" s="26" t="s">
        <v>219</v>
      </c>
      <c r="D27" s="6"/>
      <c r="E27" s="6">
        <f t="shared" si="2"/>
        <v>0</v>
      </c>
      <c r="F27" s="6"/>
      <c r="G27" s="6">
        <f t="shared" si="3"/>
        <v>0</v>
      </c>
      <c r="H27" s="1"/>
    </row>
    <row r="28" spans="1:8" ht="40.200000000000003" customHeight="1" x14ac:dyDescent="0.3">
      <c r="A28" s="25" t="s">
        <v>196</v>
      </c>
      <c r="B28" s="22" t="s">
        <v>222</v>
      </c>
      <c r="C28" s="26" t="s">
        <v>218</v>
      </c>
      <c r="D28" s="6"/>
      <c r="E28" s="6">
        <f t="shared" si="2"/>
        <v>0</v>
      </c>
      <c r="F28" s="6"/>
      <c r="G28" s="6">
        <f t="shared" si="3"/>
        <v>0</v>
      </c>
      <c r="H28" s="1"/>
    </row>
    <row r="29" spans="1:8" ht="39.6" customHeight="1" x14ac:dyDescent="0.3">
      <c r="A29" s="25" t="s">
        <v>197</v>
      </c>
      <c r="B29" s="22" t="s">
        <v>223</v>
      </c>
      <c r="C29" s="26" t="s">
        <v>217</v>
      </c>
      <c r="D29" s="6"/>
      <c r="E29" s="6">
        <f t="shared" si="2"/>
        <v>0</v>
      </c>
      <c r="F29" s="6"/>
      <c r="G29" s="6">
        <f t="shared" si="3"/>
        <v>0</v>
      </c>
      <c r="H29" s="1"/>
    </row>
    <row r="30" spans="1:8" ht="18" customHeight="1" x14ac:dyDescent="0.3">
      <c r="A30" s="2"/>
      <c r="B30" s="4" t="s">
        <v>62</v>
      </c>
      <c r="C30" s="2"/>
      <c r="D30" s="5">
        <f>SUM(D25:D29)</f>
        <v>0</v>
      </c>
      <c r="E30" s="5">
        <f>SUM(E25:E29)</f>
        <v>0</v>
      </c>
      <c r="F30" s="5">
        <f>SUM(F25:F29)</f>
        <v>0</v>
      </c>
      <c r="G30" s="5">
        <f>SUM(G25:G29)</f>
        <v>0</v>
      </c>
      <c r="H30" s="1"/>
    </row>
    <row r="31" spans="1:8" ht="18" customHeight="1" x14ac:dyDescent="0.3">
      <c r="A31" s="128" t="s">
        <v>92</v>
      </c>
      <c r="B31" s="128"/>
      <c r="C31" s="2"/>
      <c r="D31" s="5">
        <f>SUM(D30,D23)</f>
        <v>0</v>
      </c>
      <c r="E31" s="5">
        <f t="shared" ref="E31:G31" si="4">SUM(E30,E23)</f>
        <v>0</v>
      </c>
      <c r="F31" s="5">
        <f t="shared" si="4"/>
        <v>0</v>
      </c>
      <c r="G31" s="5">
        <f t="shared" si="4"/>
        <v>0</v>
      </c>
      <c r="H31" s="1"/>
    </row>
    <row r="32" spans="1:8" x14ac:dyDescent="0.3">
      <c r="A32" s="1"/>
      <c r="B32" s="1"/>
      <c r="C32" s="1"/>
      <c r="D32" s="1"/>
      <c r="E32" s="1"/>
      <c r="F32" s="1"/>
      <c r="G32" s="1"/>
      <c r="H32" s="1"/>
    </row>
    <row r="33" spans="1:8" x14ac:dyDescent="0.3">
      <c r="A33" s="1"/>
      <c r="B33" s="1"/>
      <c r="C33" s="1"/>
      <c r="D33" s="1"/>
      <c r="E33" s="1"/>
      <c r="F33" s="1"/>
      <c r="G33" s="1"/>
      <c r="H33" s="1"/>
    </row>
  </sheetData>
  <mergeCells count="12">
    <mergeCell ref="A7:G7"/>
    <mergeCell ref="A24:G24"/>
    <mergeCell ref="A31:B31"/>
    <mergeCell ref="A1:G1"/>
    <mergeCell ref="A2:G2"/>
    <mergeCell ref="A3:A5"/>
    <mergeCell ref="B3:B5"/>
    <mergeCell ref="C3:C5"/>
    <mergeCell ref="D3:E3"/>
    <mergeCell ref="F3:G3"/>
    <mergeCell ref="D4:E4"/>
    <mergeCell ref="F4:G4"/>
  </mergeCells>
  <phoneticPr fontId="14" type="noConversion"/>
  <pageMargins left="0.7" right="0.7" top="0.75" bottom="0.75" header="0.3" footer="0.3"/>
  <pageSetup paperSize="9" scale="86" fitToHeight="0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H45"/>
  <sheetViews>
    <sheetView topLeftCell="A38" workbookViewId="0">
      <selection sqref="A1:G1"/>
    </sheetView>
  </sheetViews>
  <sheetFormatPr defaultRowHeight="14.4" x14ac:dyDescent="0.3"/>
  <cols>
    <col min="1" max="1" width="7.5546875" customWidth="1"/>
    <col min="2" max="2" width="36.88671875" customWidth="1"/>
    <col min="3" max="3" width="19.88671875" customWidth="1"/>
  </cols>
  <sheetData>
    <row r="1" spans="1:8" ht="18" customHeight="1" x14ac:dyDescent="0.3">
      <c r="A1" s="131" t="s">
        <v>95</v>
      </c>
      <c r="B1" s="131"/>
      <c r="C1" s="131"/>
      <c r="D1" s="131"/>
      <c r="E1" s="131"/>
      <c r="F1" s="131"/>
      <c r="G1" s="131"/>
      <c r="H1" s="1"/>
    </row>
    <row r="2" spans="1:8" ht="19.2" customHeight="1" x14ac:dyDescent="0.3">
      <c r="A2" s="140" t="s">
        <v>45</v>
      </c>
      <c r="B2" s="140"/>
      <c r="C2" s="140"/>
      <c r="D2" s="140"/>
      <c r="E2" s="140"/>
      <c r="F2" s="140"/>
      <c r="G2" s="140"/>
      <c r="H2" s="1"/>
    </row>
    <row r="3" spans="1:8" x14ac:dyDescent="0.3">
      <c r="A3" s="133"/>
      <c r="B3" s="134" t="s">
        <v>51</v>
      </c>
      <c r="C3" s="134" t="s">
        <v>52</v>
      </c>
      <c r="D3" s="135" t="s">
        <v>46</v>
      </c>
      <c r="E3" s="135"/>
      <c r="F3" s="135" t="s">
        <v>47</v>
      </c>
      <c r="G3" s="135"/>
      <c r="H3" s="1"/>
    </row>
    <row r="4" spans="1:8" x14ac:dyDescent="0.3">
      <c r="A4" s="133"/>
      <c r="B4" s="134"/>
      <c r="C4" s="134"/>
      <c r="D4" s="135" t="s">
        <v>48</v>
      </c>
      <c r="E4" s="135"/>
      <c r="F4" s="135" t="s">
        <v>48</v>
      </c>
      <c r="G4" s="135"/>
      <c r="H4" s="1"/>
    </row>
    <row r="5" spans="1:8" ht="20.399999999999999" x14ac:dyDescent="0.3">
      <c r="A5" s="133"/>
      <c r="B5" s="134"/>
      <c r="C5" s="134"/>
      <c r="D5" s="15" t="s">
        <v>49</v>
      </c>
      <c r="E5" s="16" t="s">
        <v>50</v>
      </c>
      <c r="F5" s="15" t="s">
        <v>49</v>
      </c>
      <c r="G5" s="16" t="s">
        <v>50</v>
      </c>
      <c r="H5" s="1"/>
    </row>
    <row r="6" spans="1:8" x14ac:dyDescent="0.3">
      <c r="A6" s="11">
        <v>1</v>
      </c>
      <c r="B6" s="11">
        <v>2</v>
      </c>
      <c r="C6" s="11">
        <v>3</v>
      </c>
      <c r="D6" s="11">
        <v>4</v>
      </c>
      <c r="E6" s="11">
        <v>5</v>
      </c>
      <c r="F6" s="11">
        <v>6</v>
      </c>
      <c r="G6" s="11">
        <v>7</v>
      </c>
      <c r="H6" s="1"/>
    </row>
    <row r="7" spans="1:8" ht="42.6" customHeight="1" x14ac:dyDescent="0.3">
      <c r="A7" s="129" t="s">
        <v>96</v>
      </c>
      <c r="B7" s="129"/>
      <c r="C7" s="129"/>
      <c r="D7" s="129"/>
      <c r="E7" s="129"/>
      <c r="F7" s="129"/>
      <c r="G7" s="129"/>
      <c r="H7" s="1"/>
    </row>
    <row r="8" spans="1:8" ht="18" customHeight="1" x14ac:dyDescent="0.3">
      <c r="A8" s="37" t="s">
        <v>257</v>
      </c>
      <c r="B8" s="38" t="s">
        <v>224</v>
      </c>
      <c r="C8" s="38"/>
      <c r="D8" s="6"/>
      <c r="E8" s="6">
        <f>D8</f>
        <v>0</v>
      </c>
      <c r="F8" s="6"/>
      <c r="G8" s="6">
        <f>F8</f>
        <v>0</v>
      </c>
      <c r="H8" s="1"/>
    </row>
    <row r="9" spans="1:8" ht="27" customHeight="1" x14ac:dyDescent="0.3">
      <c r="A9" s="37"/>
      <c r="B9" s="44" t="s">
        <v>225</v>
      </c>
      <c r="C9" s="38" t="s">
        <v>220</v>
      </c>
      <c r="D9" s="6"/>
      <c r="E9" s="6">
        <f t="shared" ref="E9:E29" si="0">D9</f>
        <v>0</v>
      </c>
      <c r="F9" s="6"/>
      <c r="G9" s="6">
        <f t="shared" ref="G9:G19" si="1">F9</f>
        <v>0</v>
      </c>
      <c r="H9" s="1"/>
    </row>
    <row r="10" spans="1:8" ht="18" customHeight="1" x14ac:dyDescent="0.3">
      <c r="A10" s="37"/>
      <c r="B10" s="44" t="s">
        <v>226</v>
      </c>
      <c r="C10" s="38" t="s">
        <v>256</v>
      </c>
      <c r="D10" s="6"/>
      <c r="E10" s="6">
        <f t="shared" si="0"/>
        <v>0</v>
      </c>
      <c r="F10" s="6"/>
      <c r="G10" s="6">
        <f t="shared" si="1"/>
        <v>0</v>
      </c>
      <c r="H10" s="1"/>
    </row>
    <row r="11" spans="1:8" ht="18" customHeight="1" x14ac:dyDescent="0.3">
      <c r="A11" s="37"/>
      <c r="B11" s="44" t="s">
        <v>227</v>
      </c>
      <c r="C11" s="38" t="s">
        <v>220</v>
      </c>
      <c r="D11" s="6"/>
      <c r="E11" s="6">
        <f t="shared" si="0"/>
        <v>0</v>
      </c>
      <c r="F11" s="6"/>
      <c r="G11" s="6">
        <f t="shared" si="1"/>
        <v>0</v>
      </c>
      <c r="H11" s="1"/>
    </row>
    <row r="12" spans="1:8" ht="18" customHeight="1" x14ac:dyDescent="0.3">
      <c r="A12" s="37"/>
      <c r="B12" s="44" t="s">
        <v>228</v>
      </c>
      <c r="C12" s="38" t="s">
        <v>220</v>
      </c>
      <c r="D12" s="6"/>
      <c r="E12" s="6">
        <f t="shared" si="0"/>
        <v>0</v>
      </c>
      <c r="F12" s="6"/>
      <c r="G12" s="6">
        <f t="shared" si="1"/>
        <v>0</v>
      </c>
      <c r="H12" s="1"/>
    </row>
    <row r="13" spans="1:8" ht="18" customHeight="1" x14ac:dyDescent="0.3">
      <c r="A13" s="37"/>
      <c r="B13" s="44" t="s">
        <v>229</v>
      </c>
      <c r="C13" s="38" t="s">
        <v>234</v>
      </c>
      <c r="D13" s="6"/>
      <c r="E13" s="6">
        <f t="shared" si="0"/>
        <v>0</v>
      </c>
      <c r="F13" s="6"/>
      <c r="G13" s="6">
        <f t="shared" si="1"/>
        <v>0</v>
      </c>
      <c r="H13" s="1"/>
    </row>
    <row r="14" spans="1:8" ht="27.6" customHeight="1" x14ac:dyDescent="0.3">
      <c r="A14" s="37"/>
      <c r="B14" s="44" t="s">
        <v>230</v>
      </c>
      <c r="C14" s="38" t="s">
        <v>234</v>
      </c>
      <c r="D14" s="6"/>
      <c r="E14" s="6">
        <f t="shared" si="0"/>
        <v>0</v>
      </c>
      <c r="F14" s="6"/>
      <c r="G14" s="6">
        <f t="shared" si="1"/>
        <v>0</v>
      </c>
      <c r="H14" s="1"/>
    </row>
    <row r="15" spans="1:8" ht="27.6" customHeight="1" x14ac:dyDescent="0.3">
      <c r="A15" s="37"/>
      <c r="B15" s="44" t="s">
        <v>231</v>
      </c>
      <c r="C15" s="38" t="s">
        <v>220</v>
      </c>
      <c r="D15" s="6"/>
      <c r="E15" s="6">
        <f t="shared" si="0"/>
        <v>0</v>
      </c>
      <c r="F15" s="6"/>
      <c r="G15" s="6">
        <f t="shared" si="1"/>
        <v>0</v>
      </c>
      <c r="H15" s="1"/>
    </row>
    <row r="16" spans="1:8" ht="40.950000000000003" customHeight="1" x14ac:dyDescent="0.3">
      <c r="A16" s="37"/>
      <c r="B16" s="44" t="s">
        <v>232</v>
      </c>
      <c r="C16" s="38" t="s">
        <v>255</v>
      </c>
      <c r="D16" s="6"/>
      <c r="E16" s="6">
        <f t="shared" si="0"/>
        <v>0</v>
      </c>
      <c r="F16" s="6"/>
      <c r="G16" s="6">
        <f t="shared" si="1"/>
        <v>0</v>
      </c>
      <c r="H16" s="1"/>
    </row>
    <row r="17" spans="1:8" ht="42" customHeight="1" x14ac:dyDescent="0.3">
      <c r="A17" s="37" t="s">
        <v>258</v>
      </c>
      <c r="B17" s="38" t="s">
        <v>233</v>
      </c>
      <c r="C17" s="38" t="s">
        <v>234</v>
      </c>
      <c r="D17" s="6"/>
      <c r="E17" s="6">
        <f t="shared" si="0"/>
        <v>0</v>
      </c>
      <c r="F17" s="6"/>
      <c r="G17" s="6">
        <f t="shared" si="1"/>
        <v>0</v>
      </c>
      <c r="H17" s="1"/>
    </row>
    <row r="18" spans="1:8" ht="52.2" customHeight="1" x14ac:dyDescent="0.3">
      <c r="A18" s="37" t="s">
        <v>259</v>
      </c>
      <c r="B18" s="44" t="s">
        <v>235</v>
      </c>
      <c r="C18" s="38"/>
      <c r="D18" s="6"/>
      <c r="E18" s="6">
        <f t="shared" si="0"/>
        <v>0</v>
      </c>
      <c r="F18" s="6"/>
      <c r="G18" s="6">
        <f t="shared" si="1"/>
        <v>0</v>
      </c>
      <c r="H18" s="1"/>
    </row>
    <row r="19" spans="1:8" ht="18" customHeight="1" x14ac:dyDescent="0.3">
      <c r="A19" s="37"/>
      <c r="B19" s="44" t="s">
        <v>236</v>
      </c>
      <c r="C19" s="38" t="s">
        <v>249</v>
      </c>
      <c r="D19" s="6"/>
      <c r="E19" s="6">
        <f t="shared" si="0"/>
        <v>0</v>
      </c>
      <c r="F19" s="6"/>
      <c r="G19" s="6">
        <f t="shared" si="1"/>
        <v>0</v>
      </c>
      <c r="H19" s="1"/>
    </row>
    <row r="20" spans="1:8" ht="18" customHeight="1" x14ac:dyDescent="0.3">
      <c r="A20" s="37"/>
      <c r="B20" s="44" t="s">
        <v>237</v>
      </c>
      <c r="C20" s="38" t="s">
        <v>248</v>
      </c>
      <c r="D20" s="6"/>
      <c r="E20" s="6">
        <f t="shared" si="0"/>
        <v>0</v>
      </c>
      <c r="F20" s="6"/>
      <c r="G20" s="6">
        <f t="shared" ref="G20:G28" si="2">F20</f>
        <v>0</v>
      </c>
      <c r="H20" s="1"/>
    </row>
    <row r="21" spans="1:8" ht="18" customHeight="1" x14ac:dyDescent="0.3">
      <c r="A21" s="37"/>
      <c r="B21" s="44" t="s">
        <v>238</v>
      </c>
      <c r="C21" s="38" t="s">
        <v>247</v>
      </c>
      <c r="D21" s="6"/>
      <c r="E21" s="6">
        <f t="shared" si="0"/>
        <v>0</v>
      </c>
      <c r="F21" s="6"/>
      <c r="G21" s="6">
        <f t="shared" si="2"/>
        <v>0</v>
      </c>
      <c r="H21" s="1"/>
    </row>
    <row r="22" spans="1:8" ht="18" customHeight="1" x14ac:dyDescent="0.3">
      <c r="A22" s="37" t="s">
        <v>260</v>
      </c>
      <c r="B22" s="44" t="s">
        <v>239</v>
      </c>
      <c r="C22" s="38"/>
      <c r="D22" s="6"/>
      <c r="E22" s="6">
        <f t="shared" si="0"/>
        <v>0</v>
      </c>
      <c r="F22" s="6"/>
      <c r="G22" s="6">
        <f t="shared" si="2"/>
        <v>0</v>
      </c>
      <c r="H22" s="1"/>
    </row>
    <row r="23" spans="1:8" ht="18" customHeight="1" x14ac:dyDescent="0.3">
      <c r="A23" s="37"/>
      <c r="B23" s="44" t="s">
        <v>250</v>
      </c>
      <c r="C23" s="38" t="s">
        <v>246</v>
      </c>
      <c r="D23" s="6"/>
      <c r="E23" s="6">
        <f t="shared" si="0"/>
        <v>0</v>
      </c>
      <c r="F23" s="6"/>
      <c r="G23" s="6">
        <f t="shared" si="2"/>
        <v>0</v>
      </c>
      <c r="H23" s="1"/>
    </row>
    <row r="24" spans="1:8" ht="18" customHeight="1" x14ac:dyDescent="0.3">
      <c r="A24" s="37"/>
      <c r="B24" s="44" t="s">
        <v>251</v>
      </c>
      <c r="C24" s="38" t="s">
        <v>246</v>
      </c>
      <c r="D24" s="6"/>
      <c r="E24" s="6">
        <f t="shared" si="0"/>
        <v>0</v>
      </c>
      <c r="F24" s="6"/>
      <c r="G24" s="6">
        <f t="shared" si="2"/>
        <v>0</v>
      </c>
      <c r="H24" s="1"/>
    </row>
    <row r="25" spans="1:8" ht="18" customHeight="1" x14ac:dyDescent="0.3">
      <c r="A25" s="37"/>
      <c r="B25" s="44" t="s">
        <v>252</v>
      </c>
      <c r="C25" s="38" t="s">
        <v>246</v>
      </c>
      <c r="D25" s="6"/>
      <c r="E25" s="6">
        <f t="shared" si="0"/>
        <v>0</v>
      </c>
      <c r="F25" s="6"/>
      <c r="G25" s="6">
        <f t="shared" si="2"/>
        <v>0</v>
      </c>
      <c r="H25" s="1"/>
    </row>
    <row r="26" spans="1:8" ht="18" customHeight="1" x14ac:dyDescent="0.3">
      <c r="A26" s="37"/>
      <c r="B26" s="44" t="s">
        <v>253</v>
      </c>
      <c r="C26" s="38" t="s">
        <v>245</v>
      </c>
      <c r="D26" s="6"/>
      <c r="E26" s="6">
        <f t="shared" si="0"/>
        <v>0</v>
      </c>
      <c r="F26" s="6"/>
      <c r="G26" s="6">
        <f t="shared" si="2"/>
        <v>0</v>
      </c>
      <c r="H26" s="1"/>
    </row>
    <row r="27" spans="1:8" ht="27" customHeight="1" x14ac:dyDescent="0.3">
      <c r="A27" s="37"/>
      <c r="B27" s="44" t="s">
        <v>254</v>
      </c>
      <c r="C27" s="38" t="s">
        <v>245</v>
      </c>
      <c r="D27" s="6"/>
      <c r="E27" s="6">
        <f t="shared" si="0"/>
        <v>0</v>
      </c>
      <c r="F27" s="6"/>
      <c r="G27" s="6">
        <f t="shared" si="2"/>
        <v>0</v>
      </c>
      <c r="H27" s="1"/>
    </row>
    <row r="28" spans="1:8" ht="40.200000000000003" customHeight="1" x14ac:dyDescent="0.3">
      <c r="A28" s="37" t="s">
        <v>261</v>
      </c>
      <c r="B28" s="44" t="s">
        <v>240</v>
      </c>
      <c r="C28" s="38" t="s">
        <v>244</v>
      </c>
      <c r="D28" s="6"/>
      <c r="E28" s="6">
        <f t="shared" si="0"/>
        <v>0</v>
      </c>
      <c r="F28" s="6"/>
      <c r="G28" s="6">
        <f t="shared" si="2"/>
        <v>0</v>
      </c>
      <c r="H28" s="1"/>
    </row>
    <row r="29" spans="1:8" ht="40.950000000000003" customHeight="1" x14ac:dyDescent="0.3">
      <c r="A29" s="37" t="s">
        <v>262</v>
      </c>
      <c r="B29" s="44" t="s">
        <v>241</v>
      </c>
      <c r="C29" s="38" t="s">
        <v>243</v>
      </c>
      <c r="D29" s="6"/>
      <c r="E29" s="6">
        <f t="shared" si="0"/>
        <v>0</v>
      </c>
      <c r="F29" s="6"/>
      <c r="G29" s="6">
        <f>F29</f>
        <v>0</v>
      </c>
      <c r="H29" s="1"/>
    </row>
    <row r="30" spans="1:8" ht="18" customHeight="1" x14ac:dyDescent="0.3">
      <c r="A30" s="6"/>
      <c r="B30" s="45" t="s">
        <v>62</v>
      </c>
      <c r="C30" s="6"/>
      <c r="D30" s="5">
        <f>SUM(D8:D29)</f>
        <v>0</v>
      </c>
      <c r="E30" s="5">
        <f>SUM(E8:E29)</f>
        <v>0</v>
      </c>
      <c r="F30" s="5">
        <f>SUM(F8:F29)</f>
        <v>0</v>
      </c>
      <c r="G30" s="5">
        <f>SUM(G8:G29)</f>
        <v>0</v>
      </c>
      <c r="H30" s="1"/>
    </row>
    <row r="31" spans="1:8" ht="18" customHeight="1" x14ac:dyDescent="0.3">
      <c r="A31" s="130" t="s">
        <v>242</v>
      </c>
      <c r="B31" s="130"/>
      <c r="C31" s="130"/>
      <c r="D31" s="130"/>
      <c r="E31" s="130"/>
      <c r="F31" s="130"/>
      <c r="G31" s="130"/>
      <c r="H31" s="1"/>
    </row>
    <row r="32" spans="1:8" ht="18" customHeight="1" x14ac:dyDescent="0.3">
      <c r="A32" s="14"/>
      <c r="B32" s="2"/>
      <c r="C32" s="2"/>
      <c r="D32" s="6"/>
      <c r="E32" s="6">
        <f>D32</f>
        <v>0</v>
      </c>
      <c r="F32" s="6"/>
      <c r="G32" s="6">
        <f>F32</f>
        <v>0</v>
      </c>
      <c r="H32" s="1"/>
    </row>
    <row r="33" spans="1:8" ht="18" customHeight="1" x14ac:dyDescent="0.3">
      <c r="A33" s="14"/>
      <c r="B33" s="2"/>
      <c r="C33" s="2"/>
      <c r="D33" s="6"/>
      <c r="E33" s="6">
        <f t="shared" ref="E33:E34" si="3">D33</f>
        <v>0</v>
      </c>
      <c r="F33" s="6"/>
      <c r="G33" s="6">
        <f t="shared" ref="G33:G34" si="4">F33</f>
        <v>0</v>
      </c>
      <c r="H33" s="1"/>
    </row>
    <row r="34" spans="1:8" ht="18" customHeight="1" x14ac:dyDescent="0.3">
      <c r="A34" s="2"/>
      <c r="B34" s="2"/>
      <c r="C34" s="2"/>
      <c r="D34" s="6"/>
      <c r="E34" s="6">
        <f t="shared" si="3"/>
        <v>0</v>
      </c>
      <c r="F34" s="6"/>
      <c r="G34" s="6">
        <f t="shared" si="4"/>
        <v>0</v>
      </c>
      <c r="H34" s="1"/>
    </row>
    <row r="35" spans="1:8" ht="18" customHeight="1" x14ac:dyDescent="0.3">
      <c r="A35" s="2"/>
      <c r="B35" s="19" t="s">
        <v>62</v>
      </c>
      <c r="C35" s="2"/>
      <c r="D35" s="5">
        <f>SUM(D32:D34)</f>
        <v>0</v>
      </c>
      <c r="E35" s="5">
        <f t="shared" ref="E35:G35" si="5">SUM(E32:E34)</f>
        <v>0</v>
      </c>
      <c r="F35" s="5">
        <f t="shared" si="5"/>
        <v>0</v>
      </c>
      <c r="G35" s="5">
        <f t="shared" si="5"/>
        <v>0</v>
      </c>
      <c r="H35" s="1"/>
    </row>
    <row r="36" spans="1:8" ht="25.95" customHeight="1" x14ac:dyDescent="0.3">
      <c r="A36" s="141" t="s">
        <v>92</v>
      </c>
      <c r="B36" s="141"/>
      <c r="C36" s="2"/>
      <c r="D36" s="5">
        <f>SUM(D35,D30)</f>
        <v>0</v>
      </c>
      <c r="E36" s="5">
        <f>SUM(E35,E30)</f>
        <v>0</v>
      </c>
      <c r="F36" s="5">
        <f>SUM(F35,F30)</f>
        <v>0</v>
      </c>
      <c r="G36" s="5">
        <f>SUM(G35,G30)</f>
        <v>0</v>
      </c>
      <c r="H36" s="1"/>
    </row>
    <row r="37" spans="1:8" ht="28.95" customHeight="1" x14ac:dyDescent="0.3">
      <c r="A37" s="139" t="s">
        <v>97</v>
      </c>
      <c r="B37" s="139"/>
      <c r="C37" s="139"/>
      <c r="D37" s="139"/>
      <c r="E37" s="139"/>
      <c r="F37" s="139"/>
      <c r="G37" s="139"/>
      <c r="H37" s="1"/>
    </row>
    <row r="38" spans="1:8" ht="66" customHeight="1" x14ac:dyDescent="0.3">
      <c r="A38" s="17" t="s">
        <v>98</v>
      </c>
      <c r="B38" s="17" t="s">
        <v>99</v>
      </c>
      <c r="C38" s="18" t="s">
        <v>103</v>
      </c>
      <c r="D38" s="18" t="s">
        <v>100</v>
      </c>
      <c r="E38" s="136" t="s">
        <v>101</v>
      </c>
      <c r="F38" s="136"/>
      <c r="G38" s="17" t="s">
        <v>102</v>
      </c>
      <c r="H38" s="1"/>
    </row>
    <row r="39" spans="1:8" ht="18" customHeight="1" x14ac:dyDescent="0.3">
      <c r="A39" s="2"/>
      <c r="B39" s="2"/>
      <c r="C39" s="2"/>
      <c r="D39" s="2"/>
      <c r="E39" s="137"/>
      <c r="F39" s="138"/>
      <c r="G39" s="2"/>
      <c r="H39" s="1"/>
    </row>
    <row r="40" spans="1:8" ht="18" customHeight="1" x14ac:dyDescent="0.3">
      <c r="A40" s="2"/>
      <c r="B40" s="2"/>
      <c r="C40" s="2"/>
      <c r="D40" s="2"/>
      <c r="E40" s="137"/>
      <c r="F40" s="138"/>
      <c r="G40" s="2"/>
      <c r="H40" s="1"/>
    </row>
    <row r="41" spans="1:8" ht="18" customHeight="1" x14ac:dyDescent="0.3">
      <c r="A41" s="2"/>
      <c r="B41" s="2"/>
      <c r="C41" s="2"/>
      <c r="D41" s="2"/>
      <c r="E41" s="137"/>
      <c r="F41" s="138"/>
      <c r="G41" s="2"/>
      <c r="H41" s="1"/>
    </row>
    <row r="42" spans="1:8" ht="18" customHeight="1" x14ac:dyDescent="0.3">
      <c r="A42" s="2"/>
      <c r="B42" s="2"/>
      <c r="C42" s="2"/>
      <c r="D42" s="2"/>
      <c r="E42" s="137"/>
      <c r="F42" s="138"/>
      <c r="G42" s="2"/>
      <c r="H42" s="1"/>
    </row>
    <row r="43" spans="1:8" x14ac:dyDescent="0.3">
      <c r="A43" s="1"/>
      <c r="B43" s="1"/>
      <c r="C43" s="1"/>
      <c r="D43" s="1"/>
      <c r="E43" s="1"/>
      <c r="F43" s="1"/>
      <c r="G43" s="1"/>
      <c r="H43" s="1"/>
    </row>
    <row r="44" spans="1:8" x14ac:dyDescent="0.3">
      <c r="A44" s="1"/>
      <c r="B44" s="1"/>
      <c r="C44" s="1"/>
      <c r="D44" s="1"/>
      <c r="E44" s="1"/>
      <c r="F44" s="1"/>
      <c r="G44" s="1"/>
      <c r="H44" s="1"/>
    </row>
    <row r="45" spans="1:8" x14ac:dyDescent="0.3">
      <c r="A45" s="1"/>
      <c r="B45" s="1"/>
      <c r="C45" s="1"/>
      <c r="D45" s="1"/>
      <c r="E45" s="1"/>
      <c r="F45" s="1"/>
      <c r="G45" s="1"/>
      <c r="H45" s="1"/>
    </row>
  </sheetData>
  <mergeCells count="18">
    <mergeCell ref="A37:G37"/>
    <mergeCell ref="A1:G1"/>
    <mergeCell ref="A2:G2"/>
    <mergeCell ref="A3:A5"/>
    <mergeCell ref="B3:B5"/>
    <mergeCell ref="C3:C5"/>
    <mergeCell ref="D3:E3"/>
    <mergeCell ref="F3:G3"/>
    <mergeCell ref="D4:E4"/>
    <mergeCell ref="F4:G4"/>
    <mergeCell ref="A7:G7"/>
    <mergeCell ref="A31:G31"/>
    <mergeCell ref="A36:B36"/>
    <mergeCell ref="E38:F38"/>
    <mergeCell ref="E39:F39"/>
    <mergeCell ref="E40:F40"/>
    <mergeCell ref="E41:F41"/>
    <mergeCell ref="E42:F42"/>
  </mergeCells>
  <pageMargins left="0.7" right="0.7" top="0.75" bottom="0.75" header="0.3" footer="0.3"/>
  <pageSetup paperSize="9" scale="86" fitToHeight="0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43"/>
  <sheetViews>
    <sheetView topLeftCell="A20" workbookViewId="0">
      <selection activeCell="G56" sqref="G56"/>
    </sheetView>
  </sheetViews>
  <sheetFormatPr defaultRowHeight="14.4" x14ac:dyDescent="0.3"/>
  <cols>
    <col min="1" max="1" width="7.5546875" customWidth="1"/>
    <col min="2" max="2" width="36.88671875" customWidth="1"/>
    <col min="3" max="3" width="6.5546875" customWidth="1"/>
    <col min="4" max="4" width="17.88671875" customWidth="1"/>
  </cols>
  <sheetData>
    <row r="1" spans="1:9" ht="22.95" customHeight="1" x14ac:dyDescent="0.3">
      <c r="A1" s="142" t="s">
        <v>97</v>
      </c>
      <c r="B1" s="142"/>
      <c r="C1" s="142"/>
      <c r="D1" s="142"/>
      <c r="E1" s="142"/>
      <c r="F1" s="142"/>
      <c r="G1" s="142"/>
      <c r="H1" s="142"/>
      <c r="I1" s="142"/>
    </row>
    <row r="2" spans="1:9" ht="52.2" customHeight="1" x14ac:dyDescent="0.3">
      <c r="A2" s="32" t="s">
        <v>98</v>
      </c>
      <c r="B2" s="149" t="s">
        <v>99</v>
      </c>
      <c r="C2" s="149"/>
      <c r="D2" s="152" t="s">
        <v>103</v>
      </c>
      <c r="E2" s="152"/>
      <c r="F2" s="33" t="s">
        <v>100</v>
      </c>
      <c r="G2" s="153" t="s">
        <v>101</v>
      </c>
      <c r="H2" s="153"/>
      <c r="I2" s="17" t="s">
        <v>102</v>
      </c>
    </row>
    <row r="3" spans="1:9" ht="19.95" customHeight="1" x14ac:dyDescent="0.3">
      <c r="A3" s="2"/>
      <c r="B3" s="114"/>
      <c r="C3" s="114"/>
      <c r="D3" s="146"/>
      <c r="E3" s="146"/>
      <c r="F3" s="2"/>
      <c r="G3" s="114"/>
      <c r="H3" s="114"/>
      <c r="I3" s="2"/>
    </row>
    <row r="4" spans="1:9" ht="19.95" customHeight="1" x14ac:dyDescent="0.3">
      <c r="A4" s="2"/>
      <c r="B4" s="114"/>
      <c r="C4" s="114"/>
      <c r="D4" s="146"/>
      <c r="E4" s="146"/>
      <c r="F4" s="2"/>
      <c r="G4" s="114"/>
      <c r="H4" s="114"/>
      <c r="I4" s="2"/>
    </row>
    <row r="5" spans="1:9" ht="19.95" customHeight="1" x14ac:dyDescent="0.3">
      <c r="A5" s="2"/>
      <c r="B5" s="114"/>
      <c r="C5" s="114"/>
      <c r="D5" s="146"/>
      <c r="E5" s="146"/>
      <c r="F5" s="2"/>
      <c r="G5" s="114"/>
      <c r="H5" s="114"/>
      <c r="I5" s="2"/>
    </row>
    <row r="6" spans="1:9" ht="19.95" customHeight="1" x14ac:dyDescent="0.3">
      <c r="A6" s="2"/>
      <c r="B6" s="137"/>
      <c r="C6" s="138"/>
      <c r="D6" s="143"/>
      <c r="E6" s="145"/>
      <c r="F6" s="2"/>
      <c r="G6" s="137"/>
      <c r="H6" s="138"/>
      <c r="I6" s="2"/>
    </row>
    <row r="7" spans="1:9" ht="19.95" customHeight="1" x14ac:dyDescent="0.3">
      <c r="A7" s="2"/>
      <c r="B7" s="137"/>
      <c r="C7" s="138"/>
      <c r="D7" s="143"/>
      <c r="E7" s="145"/>
      <c r="F7" s="2"/>
      <c r="G7" s="137"/>
      <c r="H7" s="138"/>
      <c r="I7" s="2"/>
    </row>
    <row r="8" spans="1:9" ht="19.95" customHeight="1" x14ac:dyDescent="0.3">
      <c r="A8" s="2"/>
      <c r="B8" s="137"/>
      <c r="C8" s="138"/>
      <c r="D8" s="143"/>
      <c r="E8" s="145"/>
      <c r="F8" s="2"/>
      <c r="G8" s="137"/>
      <c r="H8" s="138"/>
      <c r="I8" s="2"/>
    </row>
    <row r="9" spans="1:9" ht="19.95" customHeight="1" x14ac:dyDescent="0.3">
      <c r="A9" s="2"/>
      <c r="B9" s="137"/>
      <c r="C9" s="138"/>
      <c r="D9" s="143"/>
      <c r="E9" s="145"/>
      <c r="F9" s="2"/>
      <c r="G9" s="137"/>
      <c r="H9" s="138"/>
      <c r="I9" s="2"/>
    </row>
    <row r="10" spans="1:9" ht="19.95" customHeight="1" x14ac:dyDescent="0.3">
      <c r="A10" s="2"/>
      <c r="B10" s="137"/>
      <c r="C10" s="138"/>
      <c r="D10" s="143"/>
      <c r="E10" s="145"/>
      <c r="F10" s="2"/>
      <c r="G10" s="137"/>
      <c r="H10" s="138"/>
      <c r="I10" s="2"/>
    </row>
    <row r="11" spans="1:9" ht="19.95" customHeight="1" x14ac:dyDescent="0.3">
      <c r="A11" s="2"/>
      <c r="B11" s="137"/>
      <c r="C11" s="138"/>
      <c r="D11" s="143"/>
      <c r="E11" s="145"/>
      <c r="F11" s="2"/>
      <c r="G11" s="137"/>
      <c r="H11" s="138"/>
      <c r="I11" s="2"/>
    </row>
    <row r="12" spans="1:9" ht="19.95" customHeight="1" x14ac:dyDescent="0.3">
      <c r="A12" s="2"/>
      <c r="B12" s="137"/>
      <c r="C12" s="138"/>
      <c r="D12" s="143"/>
      <c r="E12" s="145"/>
      <c r="F12" s="2"/>
      <c r="G12" s="137"/>
      <c r="H12" s="138"/>
      <c r="I12" s="2"/>
    </row>
    <row r="13" spans="1:9" ht="19.95" customHeight="1" x14ac:dyDescent="0.3">
      <c r="A13" s="2"/>
      <c r="B13" s="137"/>
      <c r="C13" s="138"/>
      <c r="D13" s="143"/>
      <c r="E13" s="145"/>
      <c r="F13" s="2"/>
      <c r="G13" s="137"/>
      <c r="H13" s="138"/>
      <c r="I13" s="2"/>
    </row>
    <row r="14" spans="1:9" ht="19.95" customHeight="1" x14ac:dyDescent="0.3">
      <c r="A14" s="2"/>
      <c r="B14" s="137"/>
      <c r="C14" s="138"/>
      <c r="D14" s="143"/>
      <c r="E14" s="145"/>
      <c r="F14" s="2"/>
      <c r="G14" s="137"/>
      <c r="H14" s="138"/>
      <c r="I14" s="2"/>
    </row>
    <row r="15" spans="1:9" ht="19.95" customHeight="1" x14ac:dyDescent="0.3">
      <c r="A15" s="2"/>
      <c r="B15" s="137"/>
      <c r="C15" s="138"/>
      <c r="D15" s="143"/>
      <c r="E15" s="145"/>
      <c r="F15" s="2"/>
      <c r="G15" s="137"/>
      <c r="H15" s="138"/>
      <c r="I15" s="2"/>
    </row>
    <row r="16" spans="1:9" ht="19.95" customHeight="1" x14ac:dyDescent="0.3">
      <c r="A16" s="2"/>
      <c r="B16" s="114"/>
      <c r="C16" s="114"/>
      <c r="D16" s="146"/>
      <c r="E16" s="146"/>
      <c r="F16" s="2"/>
      <c r="G16" s="114"/>
      <c r="H16" s="114"/>
      <c r="I16" s="2"/>
    </row>
    <row r="17" spans="1:9" ht="19.95" customHeight="1" x14ac:dyDescent="0.3">
      <c r="A17" s="2"/>
      <c r="B17" s="114"/>
      <c r="C17" s="114"/>
      <c r="D17" s="146"/>
      <c r="E17" s="146"/>
      <c r="F17" s="2"/>
      <c r="G17" s="114"/>
      <c r="H17" s="114"/>
      <c r="I17" s="2"/>
    </row>
    <row r="18" spans="1:9" ht="19.95" customHeight="1" x14ac:dyDescent="0.3">
      <c r="A18" s="2"/>
      <c r="B18" s="114"/>
      <c r="C18" s="114"/>
      <c r="D18" s="146"/>
      <c r="E18" s="146"/>
      <c r="F18" s="2"/>
      <c r="G18" s="114"/>
      <c r="H18" s="114"/>
      <c r="I18" s="2"/>
    </row>
    <row r="19" spans="1:9" ht="36" customHeight="1" x14ac:dyDescent="0.3">
      <c r="A19" s="154" t="s">
        <v>104</v>
      </c>
      <c r="B19" s="154"/>
      <c r="C19" s="154"/>
      <c r="D19" s="154"/>
      <c r="E19" s="154"/>
      <c r="F19" s="154"/>
      <c r="G19" s="154"/>
      <c r="H19" s="154"/>
      <c r="I19" s="154"/>
    </row>
    <row r="20" spans="1:9" ht="54" customHeight="1" x14ac:dyDescent="0.3">
      <c r="A20" s="17" t="s">
        <v>98</v>
      </c>
      <c r="B20" s="156" t="s">
        <v>99</v>
      </c>
      <c r="C20" s="157"/>
      <c r="D20" s="150" t="s">
        <v>103</v>
      </c>
      <c r="E20" s="151"/>
      <c r="F20" s="18" t="s">
        <v>100</v>
      </c>
      <c r="G20" s="136" t="s">
        <v>101</v>
      </c>
      <c r="H20" s="136"/>
      <c r="I20" s="17" t="s">
        <v>102</v>
      </c>
    </row>
    <row r="21" spans="1:9" ht="19.95" customHeight="1" x14ac:dyDescent="0.3">
      <c r="A21" s="2"/>
      <c r="B21" s="137"/>
      <c r="C21" s="138"/>
      <c r="D21" s="137"/>
      <c r="E21" s="138"/>
      <c r="F21" s="2"/>
      <c r="G21" s="137"/>
      <c r="H21" s="138"/>
      <c r="I21" s="2"/>
    </row>
    <row r="22" spans="1:9" ht="19.95" customHeight="1" x14ac:dyDescent="0.3">
      <c r="A22" s="2"/>
      <c r="B22" s="137"/>
      <c r="C22" s="138"/>
      <c r="D22" s="137"/>
      <c r="E22" s="138"/>
      <c r="F22" s="2"/>
      <c r="G22" s="137"/>
      <c r="H22" s="138"/>
      <c r="I22" s="2"/>
    </row>
    <row r="23" spans="1:9" ht="19.95" customHeight="1" x14ac:dyDescent="0.3">
      <c r="A23" s="2"/>
      <c r="B23" s="137"/>
      <c r="C23" s="138"/>
      <c r="D23" s="137"/>
      <c r="E23" s="138"/>
      <c r="F23" s="2"/>
      <c r="G23" s="137"/>
      <c r="H23" s="138"/>
      <c r="I23" s="2"/>
    </row>
    <row r="24" spans="1:9" ht="19.95" customHeight="1" x14ac:dyDescent="0.3">
      <c r="A24" s="2"/>
      <c r="B24" s="137"/>
      <c r="C24" s="138"/>
      <c r="D24" s="137"/>
      <c r="E24" s="138"/>
      <c r="F24" s="2"/>
      <c r="G24" s="137"/>
      <c r="H24" s="138"/>
      <c r="I24" s="2"/>
    </row>
    <row r="25" spans="1:9" ht="19.95" customHeight="1" x14ac:dyDescent="0.3">
      <c r="A25" s="2"/>
      <c r="B25" s="137"/>
      <c r="C25" s="138"/>
      <c r="D25" s="137"/>
      <c r="E25" s="138"/>
      <c r="F25" s="2"/>
      <c r="G25" s="137"/>
      <c r="H25" s="138"/>
      <c r="I25" s="2"/>
    </row>
    <row r="26" spans="1:9" ht="19.95" customHeight="1" x14ac:dyDescent="0.3">
      <c r="A26" s="2"/>
      <c r="B26" s="137"/>
      <c r="C26" s="138"/>
      <c r="D26" s="137"/>
      <c r="E26" s="138"/>
      <c r="F26" s="2"/>
      <c r="G26" s="137"/>
      <c r="H26" s="138"/>
      <c r="I26" s="2"/>
    </row>
    <row r="27" spans="1:9" ht="19.95" customHeight="1" x14ac:dyDescent="0.3">
      <c r="A27" s="2"/>
      <c r="B27" s="137"/>
      <c r="C27" s="138"/>
      <c r="D27" s="137"/>
      <c r="E27" s="138"/>
      <c r="F27" s="2"/>
      <c r="G27" s="137"/>
      <c r="H27" s="138"/>
      <c r="I27" s="2"/>
    </row>
    <row r="28" spans="1:9" ht="19.95" customHeight="1" x14ac:dyDescent="0.3">
      <c r="A28" s="2"/>
      <c r="B28" s="137"/>
      <c r="C28" s="138"/>
      <c r="D28" s="137"/>
      <c r="E28" s="138"/>
      <c r="F28" s="2"/>
      <c r="G28" s="137"/>
      <c r="H28" s="138"/>
      <c r="I28" s="2"/>
    </row>
    <row r="29" spans="1:9" ht="19.95" customHeight="1" x14ac:dyDescent="0.3">
      <c r="A29" s="2"/>
      <c r="B29" s="137"/>
      <c r="C29" s="138"/>
      <c r="D29" s="137"/>
      <c r="E29" s="138"/>
      <c r="F29" s="2"/>
      <c r="G29" s="137"/>
      <c r="H29" s="138"/>
      <c r="I29" s="2"/>
    </row>
    <row r="30" spans="1:9" ht="19.95" customHeight="1" x14ac:dyDescent="0.3">
      <c r="A30" s="2"/>
      <c r="B30" s="137"/>
      <c r="C30" s="138"/>
      <c r="D30" s="137"/>
      <c r="E30" s="138"/>
      <c r="F30" s="2"/>
      <c r="G30" s="137"/>
      <c r="H30" s="138"/>
      <c r="I30" s="2"/>
    </row>
    <row r="31" spans="1:9" ht="19.95" customHeight="1" x14ac:dyDescent="0.3">
      <c r="A31" s="2"/>
      <c r="B31" s="137"/>
      <c r="C31" s="138"/>
      <c r="D31" s="137"/>
      <c r="E31" s="138"/>
      <c r="F31" s="2"/>
      <c r="G31" s="137"/>
      <c r="H31" s="138"/>
      <c r="I31" s="2"/>
    </row>
    <row r="32" spans="1:9" ht="19.95" customHeight="1" x14ac:dyDescent="0.3">
      <c r="A32" s="2"/>
      <c r="B32" s="137"/>
      <c r="C32" s="138"/>
      <c r="D32" s="137"/>
      <c r="E32" s="138"/>
      <c r="F32" s="2"/>
      <c r="G32" s="137"/>
      <c r="H32" s="138"/>
      <c r="I32" s="2"/>
    </row>
    <row r="33" spans="1:9" ht="19.95" customHeight="1" x14ac:dyDescent="0.3">
      <c r="A33" s="2"/>
      <c r="B33" s="137"/>
      <c r="C33" s="138"/>
      <c r="D33" s="137"/>
      <c r="E33" s="138"/>
      <c r="F33" s="2"/>
      <c r="G33" s="137"/>
      <c r="H33" s="138"/>
      <c r="I33" s="2"/>
    </row>
    <row r="34" spans="1:9" ht="19.95" customHeight="1" x14ac:dyDescent="0.3">
      <c r="A34" s="2"/>
      <c r="B34" s="137"/>
      <c r="C34" s="138"/>
      <c r="D34" s="137"/>
      <c r="E34" s="138"/>
      <c r="F34" s="2"/>
      <c r="G34" s="137"/>
      <c r="H34" s="138"/>
      <c r="I34" s="2"/>
    </row>
    <row r="35" spans="1:9" ht="19.95" customHeight="1" x14ac:dyDescent="0.3">
      <c r="A35" s="2"/>
      <c r="B35" s="137"/>
      <c r="C35" s="138"/>
      <c r="D35" s="137"/>
      <c r="E35" s="138"/>
      <c r="F35" s="2"/>
      <c r="G35" s="137"/>
      <c r="H35" s="138"/>
      <c r="I35" s="2"/>
    </row>
    <row r="36" spans="1:9" ht="24" customHeight="1" x14ac:dyDescent="0.3">
      <c r="A36" s="139" t="s">
        <v>105</v>
      </c>
      <c r="B36" s="139"/>
      <c r="C36" s="139"/>
      <c r="D36" s="139"/>
      <c r="E36" s="139"/>
      <c r="F36" s="139"/>
      <c r="G36" s="139"/>
      <c r="H36" s="139"/>
      <c r="I36" s="139"/>
    </row>
    <row r="37" spans="1:9" ht="21" customHeight="1" x14ac:dyDescent="0.3">
      <c r="A37" s="155" t="s">
        <v>106</v>
      </c>
      <c r="B37" s="155"/>
      <c r="C37" s="155"/>
      <c r="D37" s="155"/>
      <c r="E37" s="155"/>
      <c r="F37" s="155"/>
      <c r="G37" s="155"/>
      <c r="H37" s="155"/>
      <c r="I37" s="155"/>
    </row>
    <row r="38" spans="1:9" ht="35.4" customHeight="1" x14ac:dyDescent="0.3">
      <c r="A38" s="148" t="s">
        <v>107</v>
      </c>
      <c r="B38" s="148"/>
      <c r="C38" s="148"/>
      <c r="D38" s="31" t="s">
        <v>108</v>
      </c>
      <c r="E38" s="147" t="s">
        <v>109</v>
      </c>
      <c r="F38" s="147"/>
      <c r="G38" s="113" t="s">
        <v>110</v>
      </c>
      <c r="H38" s="113"/>
      <c r="I38" s="113"/>
    </row>
    <row r="39" spans="1:9" ht="19.95" customHeight="1" x14ac:dyDescent="0.3">
      <c r="A39" s="146"/>
      <c r="B39" s="146"/>
      <c r="C39" s="146"/>
      <c r="D39" s="3"/>
      <c r="E39" s="146"/>
      <c r="F39" s="146"/>
      <c r="G39" s="146"/>
      <c r="H39" s="146"/>
      <c r="I39" s="146"/>
    </row>
    <row r="40" spans="1:9" ht="19.95" customHeight="1" x14ac:dyDescent="0.3">
      <c r="A40" s="143"/>
      <c r="B40" s="144"/>
      <c r="C40" s="145"/>
      <c r="D40" s="3"/>
      <c r="E40" s="143"/>
      <c r="F40" s="145"/>
      <c r="G40" s="143"/>
      <c r="H40" s="144"/>
      <c r="I40" s="145"/>
    </row>
    <row r="41" spans="1:9" ht="19.95" customHeight="1" x14ac:dyDescent="0.3">
      <c r="A41" s="146"/>
      <c r="B41" s="146"/>
      <c r="C41" s="146"/>
      <c r="D41" s="3"/>
      <c r="E41" s="146"/>
      <c r="F41" s="146"/>
      <c r="G41" s="146"/>
      <c r="H41" s="146"/>
      <c r="I41" s="146"/>
    </row>
    <row r="42" spans="1:9" ht="19.95" customHeight="1" x14ac:dyDescent="0.3">
      <c r="A42" s="146"/>
      <c r="B42" s="146"/>
      <c r="C42" s="146"/>
      <c r="D42" s="3"/>
      <c r="E42" s="146"/>
      <c r="F42" s="146"/>
      <c r="G42" s="146"/>
      <c r="H42" s="146"/>
      <c r="I42" s="146"/>
    </row>
    <row r="43" spans="1:9" ht="19.95" customHeight="1" x14ac:dyDescent="0.3">
      <c r="A43" s="146"/>
      <c r="B43" s="146"/>
      <c r="C43" s="146"/>
      <c r="D43" s="3"/>
      <c r="E43" s="146"/>
      <c r="F43" s="146"/>
      <c r="G43" s="146"/>
      <c r="H43" s="146"/>
      <c r="I43" s="146"/>
    </row>
  </sheetData>
  <mergeCells count="121">
    <mergeCell ref="D4:E4"/>
    <mergeCell ref="B35:C35"/>
    <mergeCell ref="A36:I36"/>
    <mergeCell ref="B5:C5"/>
    <mergeCell ref="B16:C16"/>
    <mergeCell ref="B17:C17"/>
    <mergeCell ref="A37:I37"/>
    <mergeCell ref="B34:C34"/>
    <mergeCell ref="G21:H21"/>
    <mergeCell ref="G33:H33"/>
    <mergeCell ref="G34:H34"/>
    <mergeCell ref="B33:C33"/>
    <mergeCell ref="B20:C20"/>
    <mergeCell ref="B21:C21"/>
    <mergeCell ref="G20:H20"/>
    <mergeCell ref="D6:E6"/>
    <mergeCell ref="G6:H6"/>
    <mergeCell ref="G7:H7"/>
    <mergeCell ref="G8:H8"/>
    <mergeCell ref="G9:H9"/>
    <mergeCell ref="G10:H10"/>
    <mergeCell ref="D15:E15"/>
    <mergeCell ref="D11:E11"/>
    <mergeCell ref="D10:E10"/>
    <mergeCell ref="B2:C2"/>
    <mergeCell ref="B3:C3"/>
    <mergeCell ref="B4:C4"/>
    <mergeCell ref="B18:C18"/>
    <mergeCell ref="B11:C11"/>
    <mergeCell ref="B15:C15"/>
    <mergeCell ref="B29:C29"/>
    <mergeCell ref="B30:C30"/>
    <mergeCell ref="G16:H16"/>
    <mergeCell ref="G17:H17"/>
    <mergeCell ref="G18:H18"/>
    <mergeCell ref="D20:E20"/>
    <mergeCell ref="D21:E21"/>
    <mergeCell ref="D2:E2"/>
    <mergeCell ref="D5:E5"/>
    <mergeCell ref="D16:E16"/>
    <mergeCell ref="D17:E17"/>
    <mergeCell ref="D18:E18"/>
    <mergeCell ref="G2:H2"/>
    <mergeCell ref="G3:H3"/>
    <mergeCell ref="G4:H4"/>
    <mergeCell ref="G5:H5"/>
    <mergeCell ref="A19:I19"/>
    <mergeCell ref="D3:E3"/>
    <mergeCell ref="G43:I43"/>
    <mergeCell ref="E43:F43"/>
    <mergeCell ref="E42:F42"/>
    <mergeCell ref="E41:F41"/>
    <mergeCell ref="E39:F39"/>
    <mergeCell ref="B6:C6"/>
    <mergeCell ref="B7:C7"/>
    <mergeCell ref="B8:C8"/>
    <mergeCell ref="B9:C9"/>
    <mergeCell ref="B10:C10"/>
    <mergeCell ref="D35:E35"/>
    <mergeCell ref="G38:I38"/>
    <mergeCell ref="E38:F38"/>
    <mergeCell ref="G39:I39"/>
    <mergeCell ref="G41:I41"/>
    <mergeCell ref="G42:I42"/>
    <mergeCell ref="A43:C43"/>
    <mergeCell ref="A42:C42"/>
    <mergeCell ref="A38:C38"/>
    <mergeCell ref="A41:C41"/>
    <mergeCell ref="A39:C39"/>
    <mergeCell ref="D33:E33"/>
    <mergeCell ref="D34:E34"/>
    <mergeCell ref="G35:H35"/>
    <mergeCell ref="D9:E9"/>
    <mergeCell ref="D8:E8"/>
    <mergeCell ref="D7:E7"/>
    <mergeCell ref="G11:H11"/>
    <mergeCell ref="G15:H15"/>
    <mergeCell ref="B22:C22"/>
    <mergeCell ref="B23:C23"/>
    <mergeCell ref="B27:C27"/>
    <mergeCell ref="B28:C28"/>
    <mergeCell ref="D28:E28"/>
    <mergeCell ref="D27:E27"/>
    <mergeCell ref="D23:E23"/>
    <mergeCell ref="D22:E22"/>
    <mergeCell ref="G23:H23"/>
    <mergeCell ref="G27:H27"/>
    <mergeCell ref="G28:H28"/>
    <mergeCell ref="G29:H29"/>
    <mergeCell ref="G30:H30"/>
    <mergeCell ref="G26:H26"/>
    <mergeCell ref="B31:C31"/>
    <mergeCell ref="B32:C32"/>
    <mergeCell ref="D32:E32"/>
    <mergeCell ref="D31:E31"/>
    <mergeCell ref="D30:E30"/>
    <mergeCell ref="D29:E29"/>
    <mergeCell ref="A1:I1"/>
    <mergeCell ref="B14:C14"/>
    <mergeCell ref="B13:C13"/>
    <mergeCell ref="B12:C12"/>
    <mergeCell ref="A40:C40"/>
    <mergeCell ref="E40:F40"/>
    <mergeCell ref="G40:I40"/>
    <mergeCell ref="G14:H14"/>
    <mergeCell ref="G13:H13"/>
    <mergeCell ref="G12:H12"/>
    <mergeCell ref="D12:E12"/>
    <mergeCell ref="D13:E13"/>
    <mergeCell ref="D14:E14"/>
    <mergeCell ref="G31:H31"/>
    <mergeCell ref="G32:H32"/>
    <mergeCell ref="B24:C24"/>
    <mergeCell ref="B25:C25"/>
    <mergeCell ref="B26:C26"/>
    <mergeCell ref="D26:E26"/>
    <mergeCell ref="D25:E25"/>
    <mergeCell ref="D24:E24"/>
    <mergeCell ref="G24:H24"/>
    <mergeCell ref="G25:H25"/>
    <mergeCell ref="G22:H22"/>
  </mergeCells>
  <pageMargins left="0.7" right="0.7" top="0.75" bottom="0.75" header="0.3" footer="0.3"/>
  <pageSetup paperSize="9" scale="75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32"/>
  <sheetViews>
    <sheetView tabSelected="1" workbookViewId="0">
      <selection activeCell="H4" sqref="H4"/>
    </sheetView>
  </sheetViews>
  <sheetFormatPr defaultColWidth="9.109375" defaultRowHeight="14.4" x14ac:dyDescent="0.3"/>
  <cols>
    <col min="1" max="1" width="10.6640625" style="48" customWidth="1"/>
    <col min="2" max="2" width="7.33203125" style="48" customWidth="1"/>
    <col min="3" max="4" width="9.109375" style="48"/>
    <col min="5" max="5" width="7.33203125" style="48" customWidth="1"/>
    <col min="6" max="6" width="4.6640625" style="48" customWidth="1"/>
    <col min="7" max="7" width="13.33203125" style="48" customWidth="1"/>
    <col min="8" max="8" width="14.6640625" style="48" customWidth="1"/>
    <col min="9" max="9" width="17.6640625" style="48" customWidth="1"/>
    <col min="10" max="16384" width="9.109375" style="48"/>
  </cols>
  <sheetData>
    <row r="1" spans="1:10" ht="15.6" x14ac:dyDescent="0.3">
      <c r="A1" s="158" t="s">
        <v>280</v>
      </c>
      <c r="B1" s="158"/>
      <c r="C1" s="158"/>
      <c r="D1" s="158"/>
      <c r="E1" s="158"/>
      <c r="F1" s="158"/>
      <c r="G1" s="158"/>
      <c r="H1" s="158"/>
      <c r="I1" s="158"/>
    </row>
    <row r="2" spans="1:10" ht="20.399999999999999" customHeight="1" x14ac:dyDescent="0.3">
      <c r="A2" s="83" t="s">
        <v>64</v>
      </c>
      <c r="B2" s="83"/>
      <c r="C2" s="83"/>
      <c r="D2" s="83"/>
      <c r="E2" s="83"/>
      <c r="F2" s="83"/>
      <c r="G2" s="83"/>
      <c r="H2" s="83"/>
      <c r="I2" s="83"/>
    </row>
    <row r="3" spans="1:10" ht="15.6" x14ac:dyDescent="0.3">
      <c r="A3" s="173" t="s">
        <v>279</v>
      </c>
      <c r="B3" s="173"/>
      <c r="C3" s="173"/>
      <c r="D3" s="173"/>
      <c r="E3" s="173"/>
      <c r="F3" s="173"/>
      <c r="G3" s="173"/>
      <c r="H3" s="173"/>
      <c r="I3" s="173"/>
    </row>
    <row r="4" spans="1:10" ht="15.6" x14ac:dyDescent="0.3">
      <c r="A4" s="175" t="s">
        <v>111</v>
      </c>
      <c r="B4" s="175"/>
      <c r="C4" s="175"/>
      <c r="D4" s="175"/>
      <c r="E4" s="175"/>
      <c r="F4" s="175"/>
      <c r="G4" s="175"/>
      <c r="H4" s="177"/>
      <c r="I4" s="57" t="s">
        <v>82</v>
      </c>
    </row>
    <row r="5" spans="1:10" x14ac:dyDescent="0.3">
      <c r="A5" s="174"/>
      <c r="B5" s="174"/>
      <c r="C5" s="174"/>
      <c r="D5" s="174"/>
      <c r="E5" s="174"/>
      <c r="F5" s="174"/>
      <c r="G5" s="174"/>
      <c r="H5" s="174"/>
      <c r="I5" s="174"/>
    </row>
    <row r="6" spans="1:10" ht="29.4" customHeight="1" x14ac:dyDescent="0.3">
      <c r="A6" s="165" t="s">
        <v>51</v>
      </c>
      <c r="B6" s="165"/>
      <c r="C6" s="165"/>
      <c r="D6" s="165"/>
      <c r="E6" s="165"/>
      <c r="F6" s="165"/>
      <c r="G6" s="58" t="s">
        <v>70</v>
      </c>
      <c r="H6" s="58" t="s">
        <v>71</v>
      </c>
      <c r="I6" s="59" t="s">
        <v>72</v>
      </c>
    </row>
    <row r="7" spans="1:10" ht="15.6" x14ac:dyDescent="0.3">
      <c r="A7" s="170" t="s">
        <v>65</v>
      </c>
      <c r="B7" s="170"/>
      <c r="C7" s="170"/>
      <c r="D7" s="170"/>
      <c r="E7" s="170"/>
      <c r="F7" s="170"/>
      <c r="G7" s="67"/>
      <c r="H7" s="67"/>
      <c r="I7" s="68"/>
    </row>
    <row r="8" spans="1:10" ht="15.6" x14ac:dyDescent="0.3">
      <c r="A8" s="170" t="s">
        <v>66</v>
      </c>
      <c r="B8" s="170"/>
      <c r="C8" s="170"/>
      <c r="D8" s="170"/>
      <c r="E8" s="170"/>
      <c r="F8" s="170"/>
      <c r="G8" s="67"/>
      <c r="H8" s="67"/>
      <c r="I8" s="69"/>
    </row>
    <row r="9" spans="1:10" ht="30.6" customHeight="1" x14ac:dyDescent="0.3">
      <c r="A9" s="171" t="s">
        <v>67</v>
      </c>
      <c r="B9" s="171"/>
      <c r="C9" s="171"/>
      <c r="D9" s="171"/>
      <c r="E9" s="171"/>
      <c r="F9" s="171"/>
      <c r="G9" s="67"/>
      <c r="H9" s="67"/>
      <c r="I9" s="70"/>
    </row>
    <row r="10" spans="1:10" ht="15.6" x14ac:dyDescent="0.3">
      <c r="A10" s="170" t="s">
        <v>68</v>
      </c>
      <c r="B10" s="170"/>
      <c r="C10" s="170"/>
      <c r="D10" s="170"/>
      <c r="E10" s="170"/>
      <c r="F10" s="170"/>
      <c r="G10" s="67"/>
      <c r="H10" s="67"/>
      <c r="I10" s="71"/>
      <c r="J10" s="64"/>
    </row>
    <row r="11" spans="1:10" ht="23.4" customHeight="1" x14ac:dyDescent="0.3">
      <c r="A11" s="172" t="s">
        <v>69</v>
      </c>
      <c r="B11" s="172"/>
      <c r="C11" s="172"/>
      <c r="D11" s="172"/>
      <c r="E11" s="172"/>
      <c r="F11" s="172"/>
      <c r="G11" s="72"/>
      <c r="H11" s="72"/>
      <c r="I11" s="71"/>
    </row>
    <row r="12" spans="1:10" ht="41.4" customHeight="1" x14ac:dyDescent="0.3">
      <c r="A12" s="176"/>
      <c r="B12" s="176"/>
      <c r="C12" s="176"/>
      <c r="D12" s="176"/>
      <c r="E12" s="176"/>
      <c r="F12" s="176"/>
      <c r="G12" s="176"/>
      <c r="H12" s="176"/>
      <c r="I12" s="176"/>
    </row>
    <row r="13" spans="1:10" ht="31.95" customHeight="1" x14ac:dyDescent="0.3">
      <c r="A13" s="168" t="s">
        <v>83</v>
      </c>
      <c r="B13" s="169"/>
      <c r="C13" s="169"/>
      <c r="D13" s="169"/>
      <c r="E13" s="169"/>
      <c r="F13" s="169"/>
      <c r="G13" s="169"/>
      <c r="H13" s="169"/>
      <c r="I13" s="169"/>
    </row>
    <row r="14" spans="1:10" ht="29.4" customHeight="1" x14ac:dyDescent="0.3">
      <c r="A14" s="167" t="s">
        <v>73</v>
      </c>
      <c r="B14" s="167"/>
      <c r="C14" s="167"/>
      <c r="D14" s="167"/>
      <c r="E14" s="167"/>
      <c r="F14" s="167"/>
      <c r="G14" s="166" t="s">
        <v>74</v>
      </c>
      <c r="H14" s="167"/>
      <c r="I14" s="167"/>
    </row>
    <row r="15" spans="1:10" ht="19.95" customHeight="1" x14ac:dyDescent="0.3">
      <c r="A15" s="161"/>
      <c r="B15" s="161"/>
      <c r="C15" s="161"/>
      <c r="D15" s="161"/>
      <c r="E15" s="161"/>
      <c r="F15" s="161"/>
      <c r="G15" s="161"/>
      <c r="H15" s="161"/>
      <c r="I15" s="161"/>
    </row>
    <row r="16" spans="1:10" ht="19.95" customHeight="1" x14ac:dyDescent="0.3">
      <c r="A16" s="161"/>
      <c r="B16" s="161"/>
      <c r="C16" s="161"/>
      <c r="D16" s="161"/>
      <c r="E16" s="161"/>
      <c r="F16" s="161"/>
      <c r="G16" s="161"/>
      <c r="H16" s="161"/>
      <c r="I16" s="161"/>
    </row>
    <row r="17" spans="1:9" ht="19.95" customHeight="1" x14ac:dyDescent="0.3">
      <c r="A17" s="161"/>
      <c r="B17" s="161"/>
      <c r="C17" s="161"/>
      <c r="D17" s="161"/>
      <c r="E17" s="161"/>
      <c r="F17" s="161"/>
      <c r="G17" s="161"/>
      <c r="H17" s="161"/>
      <c r="I17" s="161"/>
    </row>
    <row r="18" spans="1:9" ht="19.95" customHeight="1" x14ac:dyDescent="0.3">
      <c r="A18" s="161"/>
      <c r="B18" s="161"/>
      <c r="C18" s="161"/>
      <c r="D18" s="161"/>
      <c r="E18" s="161"/>
      <c r="F18" s="161"/>
      <c r="G18" s="161"/>
      <c r="H18" s="161"/>
      <c r="I18" s="161"/>
    </row>
    <row r="19" spans="1:9" ht="19.95" customHeight="1" x14ac:dyDescent="0.3">
      <c r="A19" s="161"/>
      <c r="B19" s="161"/>
      <c r="C19" s="161"/>
      <c r="D19" s="161"/>
      <c r="E19" s="161"/>
      <c r="F19" s="161"/>
      <c r="G19" s="161"/>
      <c r="H19" s="161"/>
      <c r="I19" s="161"/>
    </row>
    <row r="20" spans="1:9" ht="33.6" customHeight="1" x14ac:dyDescent="0.3">
      <c r="A20" s="163" t="s">
        <v>75</v>
      </c>
      <c r="B20" s="164"/>
      <c r="C20" s="164"/>
      <c r="D20" s="164"/>
      <c r="E20" s="164"/>
      <c r="F20" s="164"/>
      <c r="G20" s="164"/>
      <c r="H20" s="164"/>
      <c r="I20" s="164"/>
    </row>
    <row r="21" spans="1:9" ht="21" customHeight="1" x14ac:dyDescent="0.3">
      <c r="A21" s="60" t="s">
        <v>76</v>
      </c>
      <c r="B21" s="165" t="s">
        <v>77</v>
      </c>
      <c r="C21" s="165"/>
      <c r="D21" s="165"/>
      <c r="E21" s="165"/>
      <c r="F21" s="165"/>
      <c r="G21" s="165"/>
      <c r="H21" s="165"/>
      <c r="I21" s="165"/>
    </row>
    <row r="22" spans="1:9" ht="16.95" customHeight="1" x14ac:dyDescent="0.3">
      <c r="A22" s="61"/>
      <c r="B22" s="161"/>
      <c r="C22" s="161"/>
      <c r="D22" s="161"/>
      <c r="E22" s="161"/>
      <c r="F22" s="161"/>
      <c r="G22" s="161"/>
      <c r="H22" s="161"/>
      <c r="I22" s="161"/>
    </row>
    <row r="23" spans="1:9" ht="16.95" customHeight="1" x14ac:dyDescent="0.3">
      <c r="A23" s="61"/>
      <c r="B23" s="161"/>
      <c r="C23" s="161"/>
      <c r="D23" s="161"/>
      <c r="E23" s="161"/>
      <c r="F23" s="161"/>
      <c r="G23" s="161"/>
      <c r="H23" s="161"/>
      <c r="I23" s="161"/>
    </row>
    <row r="24" spans="1:9" ht="16.95" customHeight="1" x14ac:dyDescent="0.3">
      <c r="A24" s="61"/>
      <c r="B24" s="161"/>
      <c r="C24" s="161"/>
      <c r="D24" s="161"/>
      <c r="E24" s="161"/>
      <c r="F24" s="161"/>
      <c r="G24" s="161"/>
      <c r="H24" s="161"/>
      <c r="I24" s="161"/>
    </row>
    <row r="25" spans="1:9" ht="16.95" customHeight="1" x14ac:dyDescent="0.3">
      <c r="A25" s="61"/>
      <c r="B25" s="161"/>
      <c r="C25" s="161"/>
      <c r="D25" s="161"/>
      <c r="E25" s="161"/>
      <c r="F25" s="161"/>
      <c r="G25" s="161"/>
      <c r="H25" s="161"/>
      <c r="I25" s="161"/>
    </row>
    <row r="26" spans="1:9" ht="16.95" customHeight="1" x14ac:dyDescent="0.3">
      <c r="A26" s="61"/>
      <c r="B26" s="161"/>
      <c r="C26" s="161"/>
      <c r="D26" s="161"/>
      <c r="E26" s="161"/>
      <c r="F26" s="161"/>
      <c r="G26" s="161"/>
      <c r="H26" s="161"/>
      <c r="I26" s="161"/>
    </row>
    <row r="27" spans="1:9" ht="16.95" customHeight="1" x14ac:dyDescent="0.3">
      <c r="A27" s="61"/>
      <c r="B27" s="161"/>
      <c r="C27" s="161"/>
      <c r="D27" s="161"/>
      <c r="E27" s="161"/>
      <c r="F27" s="161"/>
      <c r="G27" s="161"/>
      <c r="H27" s="161"/>
      <c r="I27" s="161"/>
    </row>
    <row r="28" spans="1:9" ht="16.95" customHeight="1" x14ac:dyDescent="0.3">
      <c r="A28" s="61"/>
      <c r="B28" s="161"/>
      <c r="C28" s="161"/>
      <c r="D28" s="161"/>
      <c r="E28" s="161"/>
      <c r="F28" s="161"/>
      <c r="G28" s="161"/>
      <c r="H28" s="161"/>
      <c r="I28" s="161"/>
    </row>
    <row r="29" spans="1:9" x14ac:dyDescent="0.3">
      <c r="A29" s="162"/>
      <c r="B29" s="162"/>
      <c r="C29" s="162"/>
      <c r="D29" s="162"/>
      <c r="E29" s="162"/>
      <c r="F29" s="162"/>
      <c r="G29" s="162"/>
      <c r="H29" s="162"/>
      <c r="I29" s="162"/>
    </row>
    <row r="30" spans="1:9" ht="60" customHeight="1" x14ac:dyDescent="0.3">
      <c r="A30" s="159" t="s">
        <v>78</v>
      </c>
      <c r="B30" s="159"/>
      <c r="C30" s="159"/>
      <c r="D30" s="159"/>
      <c r="E30" s="159"/>
      <c r="F30" s="159" t="s">
        <v>276</v>
      </c>
      <c r="G30" s="159"/>
      <c r="H30" s="159"/>
      <c r="I30" s="62"/>
    </row>
    <row r="31" spans="1:9" ht="19.95" customHeight="1" x14ac:dyDescent="0.3">
      <c r="A31" s="160" t="s">
        <v>79</v>
      </c>
      <c r="B31" s="160"/>
      <c r="C31" s="160"/>
      <c r="D31" s="160"/>
      <c r="E31" s="160"/>
      <c r="F31" s="160" t="s">
        <v>264</v>
      </c>
      <c r="G31" s="160"/>
      <c r="H31" s="160"/>
      <c r="I31" s="63"/>
    </row>
    <row r="32" spans="1:9" ht="19.95" customHeight="1" x14ac:dyDescent="0.3">
      <c r="A32" s="159" t="s">
        <v>80</v>
      </c>
      <c r="B32" s="159"/>
      <c r="C32" s="159"/>
      <c r="D32" s="159"/>
      <c r="E32" s="159"/>
      <c r="F32" s="160" t="s">
        <v>81</v>
      </c>
      <c r="G32" s="160"/>
      <c r="H32" s="160"/>
      <c r="I32" s="62"/>
    </row>
  </sheetData>
  <mergeCells count="41">
    <mergeCell ref="A2:I2"/>
    <mergeCell ref="A3:I3"/>
    <mergeCell ref="A5:I5"/>
    <mergeCell ref="A4:G4"/>
    <mergeCell ref="A12:I12"/>
    <mergeCell ref="A13:I13"/>
    <mergeCell ref="A14:F14"/>
    <mergeCell ref="A6:F6"/>
    <mergeCell ref="A7:F7"/>
    <mergeCell ref="A8:F8"/>
    <mergeCell ref="A9:F9"/>
    <mergeCell ref="A10:F10"/>
    <mergeCell ref="A11:F11"/>
    <mergeCell ref="B23:I23"/>
    <mergeCell ref="B24:I24"/>
    <mergeCell ref="G14:I14"/>
    <mergeCell ref="A15:F15"/>
    <mergeCell ref="A16:F16"/>
    <mergeCell ref="A17:F17"/>
    <mergeCell ref="A18:F18"/>
    <mergeCell ref="A19:F19"/>
    <mergeCell ref="G19:I19"/>
    <mergeCell ref="G18:I18"/>
    <mergeCell ref="G17:I17"/>
    <mergeCell ref="G16:I16"/>
    <mergeCell ref="A1:I1"/>
    <mergeCell ref="A32:E32"/>
    <mergeCell ref="A31:E31"/>
    <mergeCell ref="A30:E30"/>
    <mergeCell ref="F31:H31"/>
    <mergeCell ref="F30:H30"/>
    <mergeCell ref="F32:H32"/>
    <mergeCell ref="B25:I25"/>
    <mergeCell ref="B26:I26"/>
    <mergeCell ref="B27:I27"/>
    <mergeCell ref="B28:I28"/>
    <mergeCell ref="A29:I29"/>
    <mergeCell ref="G15:I15"/>
    <mergeCell ref="A20:I20"/>
    <mergeCell ref="B21:I21"/>
    <mergeCell ref="B22:I22"/>
  </mergeCells>
  <pageMargins left="0.7" right="0.7" top="0.75" bottom="0.75" header="0.3" footer="0.3"/>
  <pageSetup paperSize="9" scale="93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9</vt:i4>
      </vt:variant>
      <vt:variant>
        <vt:lpstr>Именованные диапазоны</vt:lpstr>
      </vt:variant>
      <vt:variant>
        <vt:i4>1</vt:i4>
      </vt:variant>
    </vt:vector>
  </HeadingPairs>
  <TitlesOfParts>
    <vt:vector size="10" baseType="lpstr">
      <vt:lpstr>Титул</vt:lpstr>
      <vt:lpstr>Осенний сем.</vt:lpstr>
      <vt:lpstr>Весенний сем.</vt:lpstr>
      <vt:lpstr>УМР</vt:lpstr>
      <vt:lpstr>УМР (2)</vt:lpstr>
      <vt:lpstr>НИР</vt:lpstr>
      <vt:lpstr>ОМР</vt:lpstr>
      <vt:lpstr>ОМР (2)</vt:lpstr>
      <vt:lpstr>Сводная таблица</vt:lpstr>
      <vt:lpstr>Титул!Область_печати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Julia</dc:creator>
  <cp:lastModifiedBy>kamilia s</cp:lastModifiedBy>
  <cp:lastPrinted>2025-06-18T07:07:33Z</cp:lastPrinted>
  <dcterms:created xsi:type="dcterms:W3CDTF">2023-02-28T11:15:50Z</dcterms:created>
  <dcterms:modified xsi:type="dcterms:W3CDTF">2026-06-08T20:55:26Z</dcterms:modified>
</cp:coreProperties>
</file>